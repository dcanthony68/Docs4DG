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35" windowWidth="19020" windowHeight="12660"/>
  </bookViews>
  <sheets>
    <sheet name="Baud to SAINT2 Setting" sheetId="5" r:id="rId1"/>
    <sheet name="SAINT2 Setting to Baud" sheetId="1" r:id="rId2"/>
  </sheets>
  <calcPr calcId="145621"/>
</workbook>
</file>

<file path=xl/calcChain.xml><?xml version="1.0" encoding="utf-8"?>
<calcChain xmlns="http://schemas.openxmlformats.org/spreadsheetml/2006/main">
  <c r="H2" i="5" l="1"/>
  <c r="I4" i="1" l="1"/>
  <c r="B5" i="1" s="1"/>
  <c r="C5" i="1" s="1"/>
  <c r="F10" i="1" s="1"/>
  <c r="M10" i="1" s="1"/>
  <c r="B5" i="5"/>
  <c r="B196" i="5" s="1"/>
  <c r="H196" i="5" s="1"/>
  <c r="G196" i="5" s="1"/>
  <c r="K196" i="5" s="1"/>
  <c r="B189" i="5"/>
  <c r="H189" i="5" s="1"/>
  <c r="G189" i="5" s="1"/>
  <c r="K189" i="5" s="1"/>
  <c r="Q189" i="5" s="1"/>
  <c r="B181" i="5"/>
  <c r="H181" i="5" s="1"/>
  <c r="G181" i="5" s="1"/>
  <c r="K181" i="5" s="1"/>
  <c r="B173" i="5"/>
  <c r="H173" i="5" s="1"/>
  <c r="G173" i="5" s="1"/>
  <c r="K173" i="5" s="1"/>
  <c r="B165" i="5"/>
  <c r="H165" i="5" s="1"/>
  <c r="G165" i="5" s="1"/>
  <c r="K165" i="5" s="1"/>
  <c r="B157" i="5"/>
  <c r="H157" i="5" s="1"/>
  <c r="G157" i="5" s="1"/>
  <c r="K157" i="5" s="1"/>
  <c r="B149" i="5"/>
  <c r="H149" i="5" s="1"/>
  <c r="G149" i="5" s="1"/>
  <c r="K149" i="5" s="1"/>
  <c r="B141" i="5"/>
  <c r="H141" i="5" s="1"/>
  <c r="G141" i="5" s="1"/>
  <c r="K141" i="5" s="1"/>
  <c r="B133" i="5"/>
  <c r="H133" i="5" s="1"/>
  <c r="G133" i="5" s="1"/>
  <c r="K133" i="5" s="1"/>
  <c r="B125" i="5"/>
  <c r="H125" i="5" s="1"/>
  <c r="G125" i="5" s="1"/>
  <c r="K125" i="5" s="1"/>
  <c r="B117" i="5"/>
  <c r="H117" i="5" s="1"/>
  <c r="G117" i="5" s="1"/>
  <c r="K117" i="5" s="1"/>
  <c r="B109" i="5"/>
  <c r="H109" i="5" s="1"/>
  <c r="G109" i="5" s="1"/>
  <c r="K109" i="5" s="1"/>
  <c r="B105" i="5"/>
  <c r="H105" i="5" s="1"/>
  <c r="G105" i="5" s="1"/>
  <c r="K105" i="5" s="1"/>
  <c r="B101" i="5"/>
  <c r="H101" i="5" s="1"/>
  <c r="G101" i="5" s="1"/>
  <c r="K101" i="5" s="1"/>
  <c r="B97" i="5"/>
  <c r="H97" i="5" s="1"/>
  <c r="G97" i="5" s="1"/>
  <c r="K97" i="5" s="1"/>
  <c r="B93" i="5"/>
  <c r="H93" i="5" s="1"/>
  <c r="G93" i="5" s="1"/>
  <c r="K93" i="5" s="1"/>
  <c r="B89" i="5"/>
  <c r="H89" i="5" s="1"/>
  <c r="G89" i="5" s="1"/>
  <c r="K89" i="5" s="1"/>
  <c r="B85" i="5"/>
  <c r="H85" i="5" s="1"/>
  <c r="G85" i="5" s="1"/>
  <c r="K85" i="5" s="1"/>
  <c r="B81" i="5"/>
  <c r="H81" i="5" s="1"/>
  <c r="G81" i="5" s="1"/>
  <c r="K81" i="5" s="1"/>
  <c r="B77" i="5"/>
  <c r="H77" i="5" s="1"/>
  <c r="G77" i="5" s="1"/>
  <c r="K77" i="5" s="1"/>
  <c r="B73" i="5"/>
  <c r="H73" i="5" s="1"/>
  <c r="G73" i="5" s="1"/>
  <c r="K73" i="5" s="1"/>
  <c r="B69" i="5"/>
  <c r="H69" i="5" s="1"/>
  <c r="G69" i="5" s="1"/>
  <c r="K69" i="5" s="1"/>
  <c r="B65" i="5"/>
  <c r="H65" i="5" s="1"/>
  <c r="G65" i="5" s="1"/>
  <c r="K65" i="5" s="1"/>
  <c r="B61" i="5"/>
  <c r="H61" i="5" s="1"/>
  <c r="G61" i="5" s="1"/>
  <c r="K61" i="5" s="1"/>
  <c r="B57" i="5"/>
  <c r="H57" i="5" s="1"/>
  <c r="G57" i="5" s="1"/>
  <c r="K57" i="5" s="1"/>
  <c r="B53" i="5"/>
  <c r="H53" i="5" s="1"/>
  <c r="G53" i="5" s="1"/>
  <c r="K53" i="5" s="1"/>
  <c r="B51" i="5"/>
  <c r="H51" i="5" s="1"/>
  <c r="G51" i="5" s="1"/>
  <c r="K51" i="5" s="1"/>
  <c r="B49" i="5"/>
  <c r="H49" i="5" s="1"/>
  <c r="G49" i="5" s="1"/>
  <c r="K49" i="5" s="1"/>
  <c r="B47" i="5"/>
  <c r="H47" i="5" s="1"/>
  <c r="G47" i="5" s="1"/>
  <c r="K47" i="5" s="1"/>
  <c r="B45" i="5"/>
  <c r="H45" i="5" s="1"/>
  <c r="G45" i="5" s="1"/>
  <c r="K45" i="5" s="1"/>
  <c r="B43" i="5"/>
  <c r="H43" i="5" s="1"/>
  <c r="G43" i="5" s="1"/>
  <c r="K43" i="5" s="1"/>
  <c r="B41" i="5"/>
  <c r="H41" i="5" s="1"/>
  <c r="G41" i="5" s="1"/>
  <c r="K41" i="5" s="1"/>
  <c r="B39" i="5"/>
  <c r="H39" i="5" s="1"/>
  <c r="G39" i="5" s="1"/>
  <c r="K39" i="5" s="1"/>
  <c r="B37" i="5"/>
  <c r="H37" i="5" s="1"/>
  <c r="G37" i="5" s="1"/>
  <c r="K37" i="5" s="1"/>
  <c r="B35" i="5"/>
  <c r="H35" i="5" s="1"/>
  <c r="G35" i="5" s="1"/>
  <c r="K35" i="5" s="1"/>
  <c r="B33" i="5"/>
  <c r="H33" i="5" s="1"/>
  <c r="G33" i="5" s="1"/>
  <c r="K33" i="5" s="1"/>
  <c r="B31" i="5"/>
  <c r="H31" i="5" s="1"/>
  <c r="G31" i="5" s="1"/>
  <c r="K31" i="5" s="1"/>
  <c r="B29" i="5"/>
  <c r="H29" i="5" s="1"/>
  <c r="G29" i="5" s="1"/>
  <c r="K29" i="5" s="1"/>
  <c r="B27" i="5"/>
  <c r="H27" i="5" s="1"/>
  <c r="G27" i="5" s="1"/>
  <c r="K27" i="5" s="1"/>
  <c r="B25" i="5"/>
  <c r="H25" i="5" s="1"/>
  <c r="G25" i="5" s="1"/>
  <c r="K25" i="5" s="1"/>
  <c r="B23" i="5"/>
  <c r="H23" i="5" s="1"/>
  <c r="G23" i="5" s="1"/>
  <c r="K23" i="5" s="1"/>
  <c r="B21" i="5"/>
  <c r="H21" i="5" s="1"/>
  <c r="G21" i="5" s="1"/>
  <c r="K21" i="5" s="1"/>
  <c r="B19" i="5"/>
  <c r="H19" i="5" s="1"/>
  <c r="G19" i="5" s="1"/>
  <c r="K19" i="5" s="1"/>
  <c r="B17" i="5"/>
  <c r="H17" i="5" s="1"/>
  <c r="G17" i="5" s="1"/>
  <c r="K17" i="5" s="1"/>
  <c r="B15" i="5"/>
  <c r="H15" i="5" s="1"/>
  <c r="G15" i="5" s="1"/>
  <c r="K15" i="5" s="1"/>
  <c r="B13" i="5"/>
  <c r="H13" i="5" s="1"/>
  <c r="G13" i="5" s="1"/>
  <c r="K13" i="5" s="1"/>
  <c r="B11" i="5"/>
  <c r="H11" i="5" s="1"/>
  <c r="G11" i="5" s="1"/>
  <c r="K11" i="5" s="1"/>
  <c r="B9" i="5"/>
  <c r="H9" i="5" s="1"/>
  <c r="G9" i="5" s="1"/>
  <c r="K9" i="5" s="1"/>
  <c r="B7" i="5"/>
  <c r="H7" i="5" s="1"/>
  <c r="G7" i="5" s="1"/>
  <c r="K7" i="5" s="1"/>
  <c r="I196" i="5"/>
  <c r="T196" i="5"/>
  <c r="R196" i="5"/>
  <c r="P196" i="5"/>
  <c r="L196" i="5"/>
  <c r="A196" i="5"/>
  <c r="I195" i="5"/>
  <c r="A195" i="5"/>
  <c r="I194" i="5"/>
  <c r="A194" i="5"/>
  <c r="I193" i="5"/>
  <c r="A193" i="5"/>
  <c r="I192" i="5"/>
  <c r="A192" i="5"/>
  <c r="I191" i="5"/>
  <c r="A191" i="5"/>
  <c r="I190" i="5"/>
  <c r="A190" i="5"/>
  <c r="I189" i="5"/>
  <c r="S189" i="5"/>
  <c r="P189" i="5"/>
  <c r="O189" i="5"/>
  <c r="L189" i="5"/>
  <c r="N189" i="5" s="1"/>
  <c r="A189" i="5"/>
  <c r="I188" i="5"/>
  <c r="A188" i="5"/>
  <c r="I187" i="5"/>
  <c r="A187" i="5"/>
  <c r="I186" i="5"/>
  <c r="A186" i="5"/>
  <c r="I185" i="5"/>
  <c r="A185" i="5"/>
  <c r="I184" i="5"/>
  <c r="A184" i="5"/>
  <c r="I183" i="5"/>
  <c r="A183" i="5"/>
  <c r="I182" i="5"/>
  <c r="A182" i="5"/>
  <c r="I181" i="5"/>
  <c r="S181" i="5"/>
  <c r="Q181" i="5"/>
  <c r="P181" i="5"/>
  <c r="O181" i="5"/>
  <c r="L181" i="5"/>
  <c r="N181" i="5" s="1"/>
  <c r="A181" i="5"/>
  <c r="I180" i="5"/>
  <c r="A180" i="5"/>
  <c r="I179" i="5"/>
  <c r="A179" i="5"/>
  <c r="I178" i="5"/>
  <c r="A178" i="5"/>
  <c r="I177" i="5"/>
  <c r="A177" i="5"/>
  <c r="I176" i="5"/>
  <c r="A176" i="5"/>
  <c r="I175" i="5"/>
  <c r="A175" i="5"/>
  <c r="I174" i="5"/>
  <c r="A174" i="5"/>
  <c r="I173" i="5"/>
  <c r="S173" i="5"/>
  <c r="Q173" i="5"/>
  <c r="P173" i="5"/>
  <c r="O173" i="5"/>
  <c r="L173" i="5"/>
  <c r="N173" i="5" s="1"/>
  <c r="A173" i="5"/>
  <c r="I172" i="5"/>
  <c r="A172" i="5"/>
  <c r="I171" i="5"/>
  <c r="A171" i="5"/>
  <c r="I170" i="5"/>
  <c r="A170" i="5"/>
  <c r="I169" i="5"/>
  <c r="A169" i="5"/>
  <c r="I168" i="5"/>
  <c r="A168" i="5"/>
  <c r="I167" i="5"/>
  <c r="A167" i="5"/>
  <c r="I166" i="5"/>
  <c r="A166" i="5"/>
  <c r="I165" i="5"/>
  <c r="S165" i="5"/>
  <c r="Q165" i="5"/>
  <c r="P165" i="5"/>
  <c r="O165" i="5"/>
  <c r="L165" i="5"/>
  <c r="N165" i="5" s="1"/>
  <c r="A165" i="5"/>
  <c r="I164" i="5"/>
  <c r="A164" i="5"/>
  <c r="I163" i="5"/>
  <c r="A163" i="5"/>
  <c r="I162" i="5"/>
  <c r="A162" i="5"/>
  <c r="I161" i="5"/>
  <c r="A161" i="5"/>
  <c r="I160" i="5"/>
  <c r="A160" i="5"/>
  <c r="I159" i="5"/>
  <c r="A159" i="5"/>
  <c r="I158" i="5"/>
  <c r="A158" i="5"/>
  <c r="I157" i="5"/>
  <c r="S157" i="5"/>
  <c r="Q157" i="5"/>
  <c r="P157" i="5"/>
  <c r="O157" i="5"/>
  <c r="L157" i="5"/>
  <c r="N157" i="5" s="1"/>
  <c r="A157" i="5"/>
  <c r="I156" i="5"/>
  <c r="A156" i="5"/>
  <c r="I155" i="5"/>
  <c r="A155" i="5"/>
  <c r="I154" i="5"/>
  <c r="A154" i="5"/>
  <c r="I153" i="5"/>
  <c r="A153" i="5"/>
  <c r="I152" i="5"/>
  <c r="A152" i="5"/>
  <c r="I151" i="5"/>
  <c r="A151" i="5"/>
  <c r="I150" i="5"/>
  <c r="A150" i="5"/>
  <c r="I149" i="5"/>
  <c r="S149" i="5"/>
  <c r="Q149" i="5"/>
  <c r="P149" i="5"/>
  <c r="O149" i="5"/>
  <c r="L149" i="5"/>
  <c r="N149" i="5" s="1"/>
  <c r="A149" i="5"/>
  <c r="I148" i="5"/>
  <c r="A148" i="5"/>
  <c r="I147" i="5"/>
  <c r="A147" i="5"/>
  <c r="I146" i="5"/>
  <c r="A146" i="5"/>
  <c r="I145" i="5"/>
  <c r="A145" i="5"/>
  <c r="I144" i="5"/>
  <c r="A144" i="5"/>
  <c r="I143" i="5"/>
  <c r="A143" i="5"/>
  <c r="I142" i="5"/>
  <c r="A142" i="5"/>
  <c r="I141" i="5"/>
  <c r="S141" i="5"/>
  <c r="Q141" i="5"/>
  <c r="P141" i="5"/>
  <c r="O141" i="5"/>
  <c r="L141" i="5"/>
  <c r="N141" i="5" s="1"/>
  <c r="A141" i="5"/>
  <c r="I140" i="5"/>
  <c r="A140" i="5"/>
  <c r="I139" i="5"/>
  <c r="A139" i="5"/>
  <c r="I138" i="5"/>
  <c r="A138" i="5"/>
  <c r="I137" i="5"/>
  <c r="A137" i="5"/>
  <c r="I136" i="5"/>
  <c r="A136" i="5"/>
  <c r="I135" i="5"/>
  <c r="A135" i="5"/>
  <c r="I134" i="5"/>
  <c r="A134" i="5"/>
  <c r="I133" i="5"/>
  <c r="S133" i="5"/>
  <c r="Q133" i="5"/>
  <c r="P133" i="5"/>
  <c r="O133" i="5"/>
  <c r="L133" i="5"/>
  <c r="N133" i="5" s="1"/>
  <c r="A133" i="5"/>
  <c r="I132" i="5"/>
  <c r="A132" i="5"/>
  <c r="I131" i="5"/>
  <c r="A131" i="5"/>
  <c r="I130" i="5"/>
  <c r="A130" i="5"/>
  <c r="I129" i="5"/>
  <c r="A129" i="5"/>
  <c r="I128" i="5"/>
  <c r="A128" i="5"/>
  <c r="I127" i="5"/>
  <c r="A127" i="5"/>
  <c r="I126" i="5"/>
  <c r="A126" i="5"/>
  <c r="I125" i="5"/>
  <c r="S125" i="5"/>
  <c r="Q125" i="5"/>
  <c r="P125" i="5"/>
  <c r="O125" i="5"/>
  <c r="L125" i="5"/>
  <c r="N125" i="5" s="1"/>
  <c r="A125" i="5"/>
  <c r="I124" i="5"/>
  <c r="A124" i="5"/>
  <c r="I123" i="5"/>
  <c r="A123" i="5"/>
  <c r="I122" i="5"/>
  <c r="A122" i="5"/>
  <c r="I121" i="5"/>
  <c r="A121" i="5"/>
  <c r="I120" i="5"/>
  <c r="A120" i="5"/>
  <c r="I119" i="5"/>
  <c r="A119" i="5"/>
  <c r="I118" i="5"/>
  <c r="A118" i="5"/>
  <c r="I117" i="5"/>
  <c r="T117" i="5" s="1"/>
  <c r="S117" i="5"/>
  <c r="Q117" i="5"/>
  <c r="P117" i="5"/>
  <c r="O117" i="5"/>
  <c r="L117" i="5"/>
  <c r="N117" i="5" s="1"/>
  <c r="A117" i="5"/>
  <c r="I116" i="5"/>
  <c r="A116" i="5"/>
  <c r="I115" i="5"/>
  <c r="A115" i="5"/>
  <c r="I114" i="5"/>
  <c r="A114" i="5"/>
  <c r="I113" i="5"/>
  <c r="A113" i="5"/>
  <c r="I112" i="5"/>
  <c r="A112" i="5"/>
  <c r="I111" i="5"/>
  <c r="A111" i="5"/>
  <c r="I110" i="5"/>
  <c r="A110" i="5"/>
  <c r="I109" i="5"/>
  <c r="T109" i="5" s="1"/>
  <c r="S109" i="5"/>
  <c r="Q109" i="5"/>
  <c r="P109" i="5"/>
  <c r="O109" i="5"/>
  <c r="L109" i="5"/>
  <c r="A109" i="5"/>
  <c r="I108" i="5"/>
  <c r="A108" i="5"/>
  <c r="I107" i="5"/>
  <c r="A107" i="5"/>
  <c r="I106" i="5"/>
  <c r="A106" i="5"/>
  <c r="I105" i="5"/>
  <c r="T105" i="5" s="1"/>
  <c r="S105" i="5"/>
  <c r="Q105" i="5"/>
  <c r="P105" i="5"/>
  <c r="O105" i="5"/>
  <c r="L105" i="5"/>
  <c r="A105" i="5"/>
  <c r="I104" i="5"/>
  <c r="A104" i="5"/>
  <c r="I103" i="5"/>
  <c r="A103" i="5"/>
  <c r="I102" i="5"/>
  <c r="A102" i="5"/>
  <c r="I101" i="5"/>
  <c r="T101" i="5" s="1"/>
  <c r="S101" i="5"/>
  <c r="Q101" i="5"/>
  <c r="P101" i="5"/>
  <c r="O101" i="5"/>
  <c r="L101" i="5"/>
  <c r="N101" i="5" s="1"/>
  <c r="A101" i="5"/>
  <c r="I100" i="5"/>
  <c r="A100" i="5"/>
  <c r="I99" i="5"/>
  <c r="A99" i="5"/>
  <c r="I98" i="5"/>
  <c r="A98" i="5"/>
  <c r="I97" i="5"/>
  <c r="T97" i="5" s="1"/>
  <c r="S97" i="5"/>
  <c r="Q97" i="5"/>
  <c r="P97" i="5"/>
  <c r="O97" i="5"/>
  <c r="L97" i="5"/>
  <c r="N97" i="5" s="1"/>
  <c r="A97" i="5"/>
  <c r="I96" i="5"/>
  <c r="A96" i="5"/>
  <c r="I95" i="5"/>
  <c r="A95" i="5"/>
  <c r="I94" i="5"/>
  <c r="A94" i="5"/>
  <c r="I93" i="5"/>
  <c r="T93" i="5" s="1"/>
  <c r="S93" i="5"/>
  <c r="Q93" i="5"/>
  <c r="P93" i="5"/>
  <c r="O93" i="5"/>
  <c r="L93" i="5"/>
  <c r="N93" i="5" s="1"/>
  <c r="A93" i="5"/>
  <c r="I92" i="5"/>
  <c r="A92" i="5"/>
  <c r="I91" i="5"/>
  <c r="A91" i="5"/>
  <c r="I90" i="5"/>
  <c r="A90" i="5"/>
  <c r="I89" i="5"/>
  <c r="T89" i="5" s="1"/>
  <c r="S89" i="5"/>
  <c r="Q89" i="5"/>
  <c r="P89" i="5"/>
  <c r="O89" i="5"/>
  <c r="L89" i="5"/>
  <c r="N89" i="5" s="1"/>
  <c r="A89" i="5"/>
  <c r="I88" i="5"/>
  <c r="A88" i="5"/>
  <c r="I87" i="5"/>
  <c r="A87" i="5"/>
  <c r="I86" i="5"/>
  <c r="A86" i="5"/>
  <c r="I85" i="5"/>
  <c r="T85" i="5" s="1"/>
  <c r="S85" i="5"/>
  <c r="Q85" i="5"/>
  <c r="P85" i="5"/>
  <c r="O85" i="5"/>
  <c r="L85" i="5"/>
  <c r="N85" i="5" s="1"/>
  <c r="A85" i="5"/>
  <c r="I84" i="5"/>
  <c r="A84" i="5"/>
  <c r="I83" i="5"/>
  <c r="A83" i="5"/>
  <c r="I82" i="5"/>
  <c r="A82" i="5"/>
  <c r="I81" i="5"/>
  <c r="T81" i="5" s="1"/>
  <c r="S81" i="5"/>
  <c r="Q81" i="5"/>
  <c r="P81" i="5"/>
  <c r="O81" i="5"/>
  <c r="L81" i="5"/>
  <c r="N81" i="5" s="1"/>
  <c r="A81" i="5"/>
  <c r="I80" i="5"/>
  <c r="A80" i="5"/>
  <c r="I79" i="5"/>
  <c r="A79" i="5"/>
  <c r="I78" i="5"/>
  <c r="A78" i="5"/>
  <c r="I77" i="5"/>
  <c r="T77" i="5" s="1"/>
  <c r="S77" i="5"/>
  <c r="Q77" i="5"/>
  <c r="P77" i="5"/>
  <c r="O77" i="5"/>
  <c r="L77" i="5"/>
  <c r="N77" i="5" s="1"/>
  <c r="A77" i="5"/>
  <c r="I76" i="5"/>
  <c r="A76" i="5"/>
  <c r="I75" i="5"/>
  <c r="A75" i="5"/>
  <c r="I74" i="5"/>
  <c r="A74" i="5"/>
  <c r="I73" i="5"/>
  <c r="T73" i="5" s="1"/>
  <c r="S73" i="5"/>
  <c r="Q73" i="5"/>
  <c r="P73" i="5"/>
  <c r="O73" i="5"/>
  <c r="L73" i="5"/>
  <c r="N73" i="5" s="1"/>
  <c r="A73" i="5"/>
  <c r="I72" i="5"/>
  <c r="A72" i="5"/>
  <c r="I71" i="5"/>
  <c r="A71" i="5"/>
  <c r="I70" i="5"/>
  <c r="A70" i="5"/>
  <c r="I69" i="5"/>
  <c r="T69" i="5" s="1"/>
  <c r="S69" i="5"/>
  <c r="Q69" i="5"/>
  <c r="P69" i="5"/>
  <c r="O69" i="5"/>
  <c r="L69" i="5"/>
  <c r="N69" i="5" s="1"/>
  <c r="A69" i="5"/>
  <c r="I68" i="5"/>
  <c r="A68" i="5"/>
  <c r="I67" i="5"/>
  <c r="A67" i="5"/>
  <c r="I66" i="5"/>
  <c r="A66" i="5"/>
  <c r="I65" i="5"/>
  <c r="T65" i="5" s="1"/>
  <c r="S65" i="5"/>
  <c r="Q65" i="5"/>
  <c r="P65" i="5"/>
  <c r="O65" i="5"/>
  <c r="L65" i="5"/>
  <c r="N65" i="5" s="1"/>
  <c r="A65" i="5"/>
  <c r="I64" i="5"/>
  <c r="A64" i="5"/>
  <c r="I63" i="5"/>
  <c r="A63" i="5"/>
  <c r="I62" i="5"/>
  <c r="A62" i="5"/>
  <c r="I61" i="5"/>
  <c r="T61" i="5" s="1"/>
  <c r="S61" i="5"/>
  <c r="Q61" i="5"/>
  <c r="P61" i="5"/>
  <c r="O61" i="5"/>
  <c r="L61" i="5"/>
  <c r="N61" i="5" s="1"/>
  <c r="A61" i="5"/>
  <c r="I60" i="5"/>
  <c r="A60" i="5"/>
  <c r="I59" i="5"/>
  <c r="A59" i="5"/>
  <c r="I58" i="5"/>
  <c r="A58" i="5"/>
  <c r="I57" i="5"/>
  <c r="T57" i="5" s="1"/>
  <c r="S57" i="5"/>
  <c r="Q57" i="5"/>
  <c r="P57" i="5"/>
  <c r="O57" i="5"/>
  <c r="L57" i="5"/>
  <c r="N57" i="5" s="1"/>
  <c r="A57" i="5"/>
  <c r="I56" i="5"/>
  <c r="A56" i="5"/>
  <c r="I55" i="5"/>
  <c r="A55" i="5"/>
  <c r="I54" i="5"/>
  <c r="A54" i="5"/>
  <c r="I53" i="5"/>
  <c r="T53" i="5" s="1"/>
  <c r="S53" i="5"/>
  <c r="Q53" i="5"/>
  <c r="P53" i="5"/>
  <c r="O53" i="5"/>
  <c r="L53" i="5"/>
  <c r="N53" i="5" s="1"/>
  <c r="A53" i="5"/>
  <c r="I52" i="5"/>
  <c r="A52" i="5"/>
  <c r="I51" i="5"/>
  <c r="T51" i="5" s="1"/>
  <c r="S51" i="5"/>
  <c r="Q51" i="5"/>
  <c r="P51" i="5"/>
  <c r="O51" i="5"/>
  <c r="L51" i="5"/>
  <c r="N51" i="5"/>
  <c r="A51" i="5"/>
  <c r="M51" i="5"/>
  <c r="I50" i="5"/>
  <c r="A50" i="5"/>
  <c r="I49" i="5"/>
  <c r="T49" i="5" s="1"/>
  <c r="S49" i="5"/>
  <c r="Q49" i="5"/>
  <c r="P49" i="5"/>
  <c r="O49" i="5"/>
  <c r="L49" i="5"/>
  <c r="N49" i="5" s="1"/>
  <c r="A49" i="5"/>
  <c r="I48" i="5"/>
  <c r="A48" i="5"/>
  <c r="I47" i="5"/>
  <c r="T47" i="5" s="1"/>
  <c r="S47" i="5"/>
  <c r="Q47" i="5"/>
  <c r="P47" i="5"/>
  <c r="O47" i="5"/>
  <c r="L47" i="5"/>
  <c r="N47" i="5"/>
  <c r="A47" i="5"/>
  <c r="M47" i="5"/>
  <c r="I46" i="5"/>
  <c r="A46" i="5"/>
  <c r="I45" i="5"/>
  <c r="T45" i="5" s="1"/>
  <c r="S45" i="5"/>
  <c r="Q45" i="5"/>
  <c r="P45" i="5"/>
  <c r="O45" i="5"/>
  <c r="L45" i="5"/>
  <c r="N45" i="5" s="1"/>
  <c r="A45" i="5"/>
  <c r="I44" i="5"/>
  <c r="A44" i="5"/>
  <c r="I43" i="5"/>
  <c r="T43" i="5" s="1"/>
  <c r="S43" i="5"/>
  <c r="Q43" i="5"/>
  <c r="P43" i="5"/>
  <c r="O43" i="5"/>
  <c r="L43" i="5"/>
  <c r="N43" i="5"/>
  <c r="A43" i="5"/>
  <c r="M43" i="5"/>
  <c r="I42" i="5"/>
  <c r="A42" i="5"/>
  <c r="I41" i="5"/>
  <c r="T41" i="5" s="1"/>
  <c r="S41" i="5"/>
  <c r="Q41" i="5"/>
  <c r="P41" i="5"/>
  <c r="O41" i="5"/>
  <c r="L41" i="5"/>
  <c r="N41" i="5" s="1"/>
  <c r="A41" i="5"/>
  <c r="I40" i="5"/>
  <c r="A40" i="5"/>
  <c r="I39" i="5"/>
  <c r="T39" i="5" s="1"/>
  <c r="S39" i="5"/>
  <c r="Q39" i="5"/>
  <c r="P39" i="5"/>
  <c r="O39" i="5"/>
  <c r="L39" i="5"/>
  <c r="N39" i="5"/>
  <c r="A39" i="5"/>
  <c r="M39" i="5"/>
  <c r="I38" i="5"/>
  <c r="A38" i="5"/>
  <c r="I37" i="5"/>
  <c r="T37" i="5" s="1"/>
  <c r="S37" i="5"/>
  <c r="Q37" i="5"/>
  <c r="P37" i="5"/>
  <c r="O37" i="5"/>
  <c r="L37" i="5"/>
  <c r="N37" i="5" s="1"/>
  <c r="A37" i="5"/>
  <c r="I36" i="5"/>
  <c r="A36" i="5"/>
  <c r="I35" i="5"/>
  <c r="T35" i="5" s="1"/>
  <c r="S35" i="5"/>
  <c r="Q35" i="5"/>
  <c r="P35" i="5"/>
  <c r="O35" i="5"/>
  <c r="L35" i="5"/>
  <c r="N35" i="5"/>
  <c r="A35" i="5"/>
  <c r="M35" i="5"/>
  <c r="I34" i="5"/>
  <c r="A34" i="5"/>
  <c r="I33" i="5"/>
  <c r="T33" i="5" s="1"/>
  <c r="S33" i="5"/>
  <c r="Q33" i="5"/>
  <c r="P33" i="5"/>
  <c r="O33" i="5"/>
  <c r="L33" i="5"/>
  <c r="N33" i="5" s="1"/>
  <c r="A33" i="5"/>
  <c r="I32" i="5"/>
  <c r="A32" i="5"/>
  <c r="I31" i="5"/>
  <c r="A31" i="5"/>
  <c r="I30" i="5"/>
  <c r="A30" i="5"/>
  <c r="I29" i="5"/>
  <c r="A29" i="5"/>
  <c r="I28" i="5"/>
  <c r="A28" i="5"/>
  <c r="I27" i="5"/>
  <c r="A27" i="5"/>
  <c r="I26" i="5"/>
  <c r="A26" i="5"/>
  <c r="I25" i="5"/>
  <c r="A25" i="5"/>
  <c r="I24" i="5"/>
  <c r="A24" i="5"/>
  <c r="I23" i="5"/>
  <c r="A23" i="5"/>
  <c r="I22" i="5"/>
  <c r="A22" i="5"/>
  <c r="I21" i="5"/>
  <c r="A21" i="5"/>
  <c r="I20" i="5"/>
  <c r="A20" i="5"/>
  <c r="I19" i="5"/>
  <c r="A19" i="5"/>
  <c r="I18" i="5"/>
  <c r="A18" i="5"/>
  <c r="I17" i="5"/>
  <c r="A17" i="5"/>
  <c r="I16" i="5"/>
  <c r="A16" i="5"/>
  <c r="I15" i="5"/>
  <c r="A15" i="5"/>
  <c r="I14" i="5"/>
  <c r="A14" i="5"/>
  <c r="I13" i="5"/>
  <c r="A13" i="5"/>
  <c r="I12" i="5"/>
  <c r="A12" i="5"/>
  <c r="I11" i="5"/>
  <c r="A11" i="5"/>
  <c r="I10" i="5"/>
  <c r="A10" i="5"/>
  <c r="I9" i="5"/>
  <c r="A9" i="5"/>
  <c r="I8" i="5"/>
  <c r="A8" i="5"/>
  <c r="A7" i="5"/>
  <c r="I7" i="5"/>
  <c r="B55" i="5" l="1"/>
  <c r="H55" i="5" s="1"/>
  <c r="G55" i="5" s="1"/>
  <c r="K55" i="5" s="1"/>
  <c r="B59" i="5"/>
  <c r="H59" i="5" s="1"/>
  <c r="G59" i="5" s="1"/>
  <c r="K59" i="5" s="1"/>
  <c r="B63" i="5"/>
  <c r="H63" i="5" s="1"/>
  <c r="G63" i="5" s="1"/>
  <c r="K63" i="5" s="1"/>
  <c r="B67" i="5"/>
  <c r="H67" i="5" s="1"/>
  <c r="G67" i="5" s="1"/>
  <c r="K67" i="5" s="1"/>
  <c r="B71" i="5"/>
  <c r="H71" i="5" s="1"/>
  <c r="G71" i="5" s="1"/>
  <c r="K71" i="5" s="1"/>
  <c r="B75" i="5"/>
  <c r="H75" i="5" s="1"/>
  <c r="G75" i="5" s="1"/>
  <c r="K75" i="5" s="1"/>
  <c r="B79" i="5"/>
  <c r="H79" i="5" s="1"/>
  <c r="G79" i="5" s="1"/>
  <c r="K79" i="5" s="1"/>
  <c r="B83" i="5"/>
  <c r="H83" i="5" s="1"/>
  <c r="G83" i="5" s="1"/>
  <c r="K83" i="5" s="1"/>
  <c r="B87" i="5"/>
  <c r="H87" i="5" s="1"/>
  <c r="G87" i="5" s="1"/>
  <c r="K87" i="5" s="1"/>
  <c r="B91" i="5"/>
  <c r="H91" i="5" s="1"/>
  <c r="G91" i="5" s="1"/>
  <c r="K91" i="5" s="1"/>
  <c r="B95" i="5"/>
  <c r="H95" i="5" s="1"/>
  <c r="G95" i="5" s="1"/>
  <c r="K95" i="5" s="1"/>
  <c r="B99" i="5"/>
  <c r="H99" i="5" s="1"/>
  <c r="G99" i="5" s="1"/>
  <c r="K99" i="5" s="1"/>
  <c r="B103" i="5"/>
  <c r="H103" i="5" s="1"/>
  <c r="G103" i="5" s="1"/>
  <c r="K103" i="5" s="1"/>
  <c r="B107" i="5"/>
  <c r="H107" i="5" s="1"/>
  <c r="G107" i="5" s="1"/>
  <c r="K107" i="5" s="1"/>
  <c r="B113" i="5"/>
  <c r="H113" i="5" s="1"/>
  <c r="G113" i="5" s="1"/>
  <c r="K113" i="5" s="1"/>
  <c r="B121" i="5"/>
  <c r="H121" i="5" s="1"/>
  <c r="G121" i="5" s="1"/>
  <c r="K121" i="5" s="1"/>
  <c r="B129" i="5"/>
  <c r="H129" i="5" s="1"/>
  <c r="G129" i="5" s="1"/>
  <c r="K129" i="5" s="1"/>
  <c r="B137" i="5"/>
  <c r="H137" i="5" s="1"/>
  <c r="G137" i="5" s="1"/>
  <c r="K137" i="5" s="1"/>
  <c r="B145" i="5"/>
  <c r="H145" i="5" s="1"/>
  <c r="G145" i="5" s="1"/>
  <c r="K145" i="5" s="1"/>
  <c r="B153" i="5"/>
  <c r="H153" i="5" s="1"/>
  <c r="G153" i="5" s="1"/>
  <c r="K153" i="5" s="1"/>
  <c r="B161" i="5"/>
  <c r="H161" i="5" s="1"/>
  <c r="G161" i="5" s="1"/>
  <c r="K161" i="5" s="1"/>
  <c r="B169" i="5"/>
  <c r="H169" i="5" s="1"/>
  <c r="G169" i="5" s="1"/>
  <c r="K169" i="5" s="1"/>
  <c r="B177" i="5"/>
  <c r="H177" i="5" s="1"/>
  <c r="G177" i="5" s="1"/>
  <c r="K177" i="5" s="1"/>
  <c r="B185" i="5"/>
  <c r="H185" i="5" s="1"/>
  <c r="G185" i="5" s="1"/>
  <c r="K185" i="5" s="1"/>
  <c r="B193" i="5"/>
  <c r="H193" i="5" s="1"/>
  <c r="G193" i="5" s="1"/>
  <c r="K193" i="5" s="1"/>
  <c r="O193" i="5" s="1"/>
  <c r="M33" i="5"/>
  <c r="M37" i="5"/>
  <c r="M41" i="5"/>
  <c r="M45" i="5"/>
  <c r="M49" i="5"/>
  <c r="M53" i="5"/>
  <c r="M57" i="5"/>
  <c r="M61" i="5"/>
  <c r="M65" i="5"/>
  <c r="M69" i="5"/>
  <c r="M73" i="5"/>
  <c r="M77" i="5"/>
  <c r="M81" i="5"/>
  <c r="M85" i="5"/>
  <c r="M89" i="5"/>
  <c r="M93" i="5"/>
  <c r="M97" i="5"/>
  <c r="M101" i="5"/>
  <c r="N105" i="5"/>
  <c r="M105" i="5"/>
  <c r="S196" i="5"/>
  <c r="Q196" i="5"/>
  <c r="O196" i="5"/>
  <c r="Q193" i="5"/>
  <c r="B8" i="5"/>
  <c r="H8" i="5" s="1"/>
  <c r="G8" i="5" s="1"/>
  <c r="K8" i="5" s="1"/>
  <c r="B10" i="5"/>
  <c r="H10" i="5" s="1"/>
  <c r="G10" i="5" s="1"/>
  <c r="K10" i="5" s="1"/>
  <c r="B12" i="5"/>
  <c r="H12" i="5" s="1"/>
  <c r="G12" i="5" s="1"/>
  <c r="K12" i="5" s="1"/>
  <c r="B14" i="5"/>
  <c r="H14" i="5" s="1"/>
  <c r="G14" i="5" s="1"/>
  <c r="K14" i="5" s="1"/>
  <c r="B16" i="5"/>
  <c r="H16" i="5" s="1"/>
  <c r="G16" i="5" s="1"/>
  <c r="K16" i="5" s="1"/>
  <c r="B18" i="5"/>
  <c r="H18" i="5" s="1"/>
  <c r="G18" i="5" s="1"/>
  <c r="K18" i="5" s="1"/>
  <c r="B20" i="5"/>
  <c r="H20" i="5" s="1"/>
  <c r="G20" i="5" s="1"/>
  <c r="K20" i="5" s="1"/>
  <c r="B22" i="5"/>
  <c r="H22" i="5" s="1"/>
  <c r="G22" i="5" s="1"/>
  <c r="K22" i="5" s="1"/>
  <c r="B24" i="5"/>
  <c r="H24" i="5" s="1"/>
  <c r="G24" i="5" s="1"/>
  <c r="K24" i="5" s="1"/>
  <c r="B26" i="5"/>
  <c r="H26" i="5" s="1"/>
  <c r="G26" i="5" s="1"/>
  <c r="K26" i="5" s="1"/>
  <c r="B28" i="5"/>
  <c r="H28" i="5" s="1"/>
  <c r="G28" i="5" s="1"/>
  <c r="K28" i="5" s="1"/>
  <c r="B30" i="5"/>
  <c r="H30" i="5" s="1"/>
  <c r="G30" i="5" s="1"/>
  <c r="K30" i="5" s="1"/>
  <c r="B32" i="5"/>
  <c r="H32" i="5" s="1"/>
  <c r="G32" i="5" s="1"/>
  <c r="K32" i="5" s="1"/>
  <c r="B34" i="5"/>
  <c r="H34" i="5" s="1"/>
  <c r="G34" i="5" s="1"/>
  <c r="K34" i="5" s="1"/>
  <c r="B36" i="5"/>
  <c r="H36" i="5" s="1"/>
  <c r="G36" i="5" s="1"/>
  <c r="K36" i="5" s="1"/>
  <c r="B38" i="5"/>
  <c r="H38" i="5" s="1"/>
  <c r="G38" i="5" s="1"/>
  <c r="K38" i="5" s="1"/>
  <c r="B40" i="5"/>
  <c r="H40" i="5" s="1"/>
  <c r="G40" i="5" s="1"/>
  <c r="K40" i="5" s="1"/>
  <c r="B42" i="5"/>
  <c r="H42" i="5" s="1"/>
  <c r="G42" i="5" s="1"/>
  <c r="K42" i="5" s="1"/>
  <c r="B44" i="5"/>
  <c r="H44" i="5" s="1"/>
  <c r="G44" i="5" s="1"/>
  <c r="K44" i="5" s="1"/>
  <c r="B46" i="5"/>
  <c r="H46" i="5" s="1"/>
  <c r="G46" i="5" s="1"/>
  <c r="K46" i="5" s="1"/>
  <c r="B48" i="5"/>
  <c r="H48" i="5" s="1"/>
  <c r="G48" i="5" s="1"/>
  <c r="K48" i="5" s="1"/>
  <c r="B50" i="5"/>
  <c r="H50" i="5" s="1"/>
  <c r="G50" i="5" s="1"/>
  <c r="K50" i="5" s="1"/>
  <c r="B52" i="5"/>
  <c r="H52" i="5" s="1"/>
  <c r="G52" i="5" s="1"/>
  <c r="K52" i="5" s="1"/>
  <c r="B54" i="5"/>
  <c r="H54" i="5" s="1"/>
  <c r="G54" i="5" s="1"/>
  <c r="K54" i="5" s="1"/>
  <c r="B56" i="5"/>
  <c r="H56" i="5" s="1"/>
  <c r="G56" i="5" s="1"/>
  <c r="K56" i="5" s="1"/>
  <c r="B58" i="5"/>
  <c r="H58" i="5" s="1"/>
  <c r="G58" i="5" s="1"/>
  <c r="K58" i="5" s="1"/>
  <c r="B60" i="5"/>
  <c r="H60" i="5" s="1"/>
  <c r="G60" i="5" s="1"/>
  <c r="K60" i="5" s="1"/>
  <c r="B62" i="5"/>
  <c r="H62" i="5" s="1"/>
  <c r="G62" i="5" s="1"/>
  <c r="K62" i="5" s="1"/>
  <c r="B64" i="5"/>
  <c r="H64" i="5" s="1"/>
  <c r="G64" i="5" s="1"/>
  <c r="K64" i="5" s="1"/>
  <c r="B66" i="5"/>
  <c r="H66" i="5" s="1"/>
  <c r="G66" i="5" s="1"/>
  <c r="K66" i="5" s="1"/>
  <c r="B68" i="5"/>
  <c r="H68" i="5" s="1"/>
  <c r="G68" i="5" s="1"/>
  <c r="K68" i="5" s="1"/>
  <c r="B70" i="5"/>
  <c r="H70" i="5" s="1"/>
  <c r="G70" i="5" s="1"/>
  <c r="K70" i="5" s="1"/>
  <c r="B72" i="5"/>
  <c r="H72" i="5" s="1"/>
  <c r="G72" i="5" s="1"/>
  <c r="K72" i="5" s="1"/>
  <c r="B74" i="5"/>
  <c r="H74" i="5" s="1"/>
  <c r="G74" i="5" s="1"/>
  <c r="K74" i="5" s="1"/>
  <c r="B76" i="5"/>
  <c r="H76" i="5" s="1"/>
  <c r="G76" i="5" s="1"/>
  <c r="K76" i="5" s="1"/>
  <c r="B78" i="5"/>
  <c r="H78" i="5" s="1"/>
  <c r="G78" i="5" s="1"/>
  <c r="K78" i="5" s="1"/>
  <c r="B80" i="5"/>
  <c r="H80" i="5" s="1"/>
  <c r="G80" i="5" s="1"/>
  <c r="K80" i="5" s="1"/>
  <c r="B82" i="5"/>
  <c r="H82" i="5" s="1"/>
  <c r="G82" i="5" s="1"/>
  <c r="K82" i="5" s="1"/>
  <c r="B84" i="5"/>
  <c r="H84" i="5" s="1"/>
  <c r="G84" i="5" s="1"/>
  <c r="K84" i="5" s="1"/>
  <c r="B86" i="5"/>
  <c r="H86" i="5" s="1"/>
  <c r="G86" i="5" s="1"/>
  <c r="K86" i="5" s="1"/>
  <c r="B88" i="5"/>
  <c r="H88" i="5" s="1"/>
  <c r="G88" i="5" s="1"/>
  <c r="K88" i="5" s="1"/>
  <c r="B90" i="5"/>
  <c r="H90" i="5" s="1"/>
  <c r="G90" i="5" s="1"/>
  <c r="K90" i="5" s="1"/>
  <c r="B92" i="5"/>
  <c r="H92" i="5" s="1"/>
  <c r="G92" i="5" s="1"/>
  <c r="K92" i="5" s="1"/>
  <c r="B94" i="5"/>
  <c r="H94" i="5" s="1"/>
  <c r="G94" i="5" s="1"/>
  <c r="K94" i="5" s="1"/>
  <c r="B96" i="5"/>
  <c r="H96" i="5" s="1"/>
  <c r="G96" i="5" s="1"/>
  <c r="K96" i="5" s="1"/>
  <c r="B98" i="5"/>
  <c r="H98" i="5" s="1"/>
  <c r="G98" i="5" s="1"/>
  <c r="K98" i="5" s="1"/>
  <c r="B100" i="5"/>
  <c r="H100" i="5" s="1"/>
  <c r="G100" i="5" s="1"/>
  <c r="K100" i="5" s="1"/>
  <c r="B102" i="5"/>
  <c r="H102" i="5" s="1"/>
  <c r="G102" i="5" s="1"/>
  <c r="K102" i="5" s="1"/>
  <c r="B104" i="5"/>
  <c r="H104" i="5" s="1"/>
  <c r="G104" i="5" s="1"/>
  <c r="K104" i="5" s="1"/>
  <c r="B106" i="5"/>
  <c r="H106" i="5" s="1"/>
  <c r="G106" i="5" s="1"/>
  <c r="K106" i="5" s="1"/>
  <c r="B108" i="5"/>
  <c r="H108" i="5" s="1"/>
  <c r="G108" i="5" s="1"/>
  <c r="K108" i="5" s="1"/>
  <c r="B111" i="5"/>
  <c r="H111" i="5" s="1"/>
  <c r="G111" i="5" s="1"/>
  <c r="K111" i="5" s="1"/>
  <c r="B115" i="5"/>
  <c r="H115" i="5" s="1"/>
  <c r="G115" i="5" s="1"/>
  <c r="K115" i="5" s="1"/>
  <c r="B119" i="5"/>
  <c r="H119" i="5" s="1"/>
  <c r="G119" i="5" s="1"/>
  <c r="K119" i="5" s="1"/>
  <c r="T119" i="5" s="1"/>
  <c r="B123" i="5"/>
  <c r="H123" i="5" s="1"/>
  <c r="G123" i="5" s="1"/>
  <c r="K123" i="5" s="1"/>
  <c r="B127" i="5"/>
  <c r="H127" i="5" s="1"/>
  <c r="G127" i="5" s="1"/>
  <c r="K127" i="5" s="1"/>
  <c r="B131" i="5"/>
  <c r="H131" i="5" s="1"/>
  <c r="G131" i="5" s="1"/>
  <c r="K131" i="5" s="1"/>
  <c r="B135" i="5"/>
  <c r="H135" i="5" s="1"/>
  <c r="G135" i="5" s="1"/>
  <c r="K135" i="5" s="1"/>
  <c r="B139" i="5"/>
  <c r="H139" i="5" s="1"/>
  <c r="G139" i="5" s="1"/>
  <c r="K139" i="5" s="1"/>
  <c r="B143" i="5"/>
  <c r="H143" i="5" s="1"/>
  <c r="G143" i="5" s="1"/>
  <c r="K143" i="5" s="1"/>
  <c r="B147" i="5"/>
  <c r="H147" i="5" s="1"/>
  <c r="G147" i="5" s="1"/>
  <c r="K147" i="5" s="1"/>
  <c r="B151" i="5"/>
  <c r="H151" i="5" s="1"/>
  <c r="G151" i="5" s="1"/>
  <c r="K151" i="5" s="1"/>
  <c r="B155" i="5"/>
  <c r="H155" i="5" s="1"/>
  <c r="G155" i="5" s="1"/>
  <c r="K155" i="5" s="1"/>
  <c r="B159" i="5"/>
  <c r="H159" i="5" s="1"/>
  <c r="G159" i="5" s="1"/>
  <c r="K159" i="5" s="1"/>
  <c r="B163" i="5"/>
  <c r="H163" i="5" s="1"/>
  <c r="G163" i="5" s="1"/>
  <c r="K163" i="5" s="1"/>
  <c r="B167" i="5"/>
  <c r="H167" i="5" s="1"/>
  <c r="G167" i="5" s="1"/>
  <c r="K167" i="5" s="1"/>
  <c r="B171" i="5"/>
  <c r="H171" i="5" s="1"/>
  <c r="G171" i="5" s="1"/>
  <c r="K171" i="5" s="1"/>
  <c r="B175" i="5"/>
  <c r="H175" i="5" s="1"/>
  <c r="G175" i="5" s="1"/>
  <c r="K175" i="5" s="1"/>
  <c r="B179" i="5"/>
  <c r="H179" i="5" s="1"/>
  <c r="G179" i="5" s="1"/>
  <c r="K179" i="5" s="1"/>
  <c r="B183" i="5"/>
  <c r="H183" i="5" s="1"/>
  <c r="G183" i="5" s="1"/>
  <c r="K183" i="5" s="1"/>
  <c r="B187" i="5"/>
  <c r="H187" i="5" s="1"/>
  <c r="G187" i="5" s="1"/>
  <c r="K187" i="5" s="1"/>
  <c r="B191" i="5"/>
  <c r="H191" i="5" s="1"/>
  <c r="G191" i="5" s="1"/>
  <c r="K191" i="5" s="1"/>
  <c r="B195" i="5"/>
  <c r="H195" i="5" s="1"/>
  <c r="G195" i="5" s="1"/>
  <c r="K195" i="5" s="1"/>
  <c r="N109" i="5"/>
  <c r="M109" i="5"/>
  <c r="M117" i="5"/>
  <c r="M141" i="5"/>
  <c r="M149" i="5"/>
  <c r="M157" i="5"/>
  <c r="M165" i="5"/>
  <c r="M173" i="5"/>
  <c r="M181" i="5"/>
  <c r="M189" i="5"/>
  <c r="M125" i="5"/>
  <c r="M133" i="5"/>
  <c r="B110" i="5"/>
  <c r="H110" i="5" s="1"/>
  <c r="G110" i="5" s="1"/>
  <c r="K110" i="5" s="1"/>
  <c r="B112" i="5"/>
  <c r="H112" i="5" s="1"/>
  <c r="G112" i="5" s="1"/>
  <c r="K112" i="5" s="1"/>
  <c r="B114" i="5"/>
  <c r="H114" i="5" s="1"/>
  <c r="G114" i="5" s="1"/>
  <c r="K114" i="5" s="1"/>
  <c r="B116" i="5"/>
  <c r="H116" i="5" s="1"/>
  <c r="G116" i="5" s="1"/>
  <c r="K116" i="5" s="1"/>
  <c r="B118" i="5"/>
  <c r="H118" i="5" s="1"/>
  <c r="G118" i="5" s="1"/>
  <c r="K118" i="5" s="1"/>
  <c r="B120" i="5"/>
  <c r="H120" i="5" s="1"/>
  <c r="G120" i="5" s="1"/>
  <c r="K120" i="5" s="1"/>
  <c r="B122" i="5"/>
  <c r="H122" i="5" s="1"/>
  <c r="G122" i="5" s="1"/>
  <c r="K122" i="5" s="1"/>
  <c r="B124" i="5"/>
  <c r="H124" i="5" s="1"/>
  <c r="G124" i="5" s="1"/>
  <c r="K124" i="5" s="1"/>
  <c r="B126" i="5"/>
  <c r="H126" i="5" s="1"/>
  <c r="G126" i="5" s="1"/>
  <c r="K126" i="5" s="1"/>
  <c r="B128" i="5"/>
  <c r="H128" i="5" s="1"/>
  <c r="G128" i="5" s="1"/>
  <c r="K128" i="5" s="1"/>
  <c r="B130" i="5"/>
  <c r="H130" i="5" s="1"/>
  <c r="G130" i="5" s="1"/>
  <c r="K130" i="5" s="1"/>
  <c r="B132" i="5"/>
  <c r="H132" i="5" s="1"/>
  <c r="G132" i="5" s="1"/>
  <c r="K132" i="5" s="1"/>
  <c r="B134" i="5"/>
  <c r="H134" i="5" s="1"/>
  <c r="G134" i="5" s="1"/>
  <c r="K134" i="5" s="1"/>
  <c r="B136" i="5"/>
  <c r="H136" i="5" s="1"/>
  <c r="G136" i="5" s="1"/>
  <c r="K136" i="5" s="1"/>
  <c r="B138" i="5"/>
  <c r="H138" i="5" s="1"/>
  <c r="G138" i="5" s="1"/>
  <c r="K138" i="5" s="1"/>
  <c r="B140" i="5"/>
  <c r="H140" i="5" s="1"/>
  <c r="G140" i="5" s="1"/>
  <c r="K140" i="5" s="1"/>
  <c r="B142" i="5"/>
  <c r="H142" i="5" s="1"/>
  <c r="G142" i="5" s="1"/>
  <c r="K142" i="5" s="1"/>
  <c r="B144" i="5"/>
  <c r="H144" i="5" s="1"/>
  <c r="G144" i="5" s="1"/>
  <c r="K144" i="5" s="1"/>
  <c r="B146" i="5"/>
  <c r="H146" i="5" s="1"/>
  <c r="G146" i="5" s="1"/>
  <c r="K146" i="5" s="1"/>
  <c r="B148" i="5"/>
  <c r="H148" i="5" s="1"/>
  <c r="G148" i="5" s="1"/>
  <c r="K148" i="5" s="1"/>
  <c r="B150" i="5"/>
  <c r="H150" i="5" s="1"/>
  <c r="G150" i="5" s="1"/>
  <c r="K150" i="5" s="1"/>
  <c r="B152" i="5"/>
  <c r="H152" i="5" s="1"/>
  <c r="G152" i="5" s="1"/>
  <c r="K152" i="5" s="1"/>
  <c r="B154" i="5"/>
  <c r="H154" i="5" s="1"/>
  <c r="G154" i="5" s="1"/>
  <c r="K154" i="5" s="1"/>
  <c r="B156" i="5"/>
  <c r="H156" i="5" s="1"/>
  <c r="G156" i="5" s="1"/>
  <c r="K156" i="5" s="1"/>
  <c r="B158" i="5"/>
  <c r="H158" i="5" s="1"/>
  <c r="G158" i="5" s="1"/>
  <c r="K158" i="5" s="1"/>
  <c r="B160" i="5"/>
  <c r="H160" i="5" s="1"/>
  <c r="G160" i="5" s="1"/>
  <c r="K160" i="5" s="1"/>
  <c r="B162" i="5"/>
  <c r="H162" i="5" s="1"/>
  <c r="G162" i="5" s="1"/>
  <c r="K162" i="5" s="1"/>
  <c r="B164" i="5"/>
  <c r="H164" i="5" s="1"/>
  <c r="G164" i="5" s="1"/>
  <c r="K164" i="5" s="1"/>
  <c r="B166" i="5"/>
  <c r="H166" i="5" s="1"/>
  <c r="G166" i="5" s="1"/>
  <c r="K166" i="5" s="1"/>
  <c r="B168" i="5"/>
  <c r="H168" i="5" s="1"/>
  <c r="G168" i="5" s="1"/>
  <c r="K168" i="5" s="1"/>
  <c r="B170" i="5"/>
  <c r="H170" i="5" s="1"/>
  <c r="G170" i="5" s="1"/>
  <c r="K170" i="5" s="1"/>
  <c r="B172" i="5"/>
  <c r="H172" i="5" s="1"/>
  <c r="G172" i="5" s="1"/>
  <c r="K172" i="5" s="1"/>
  <c r="B174" i="5"/>
  <c r="H174" i="5" s="1"/>
  <c r="G174" i="5" s="1"/>
  <c r="K174" i="5" s="1"/>
  <c r="B176" i="5"/>
  <c r="H176" i="5" s="1"/>
  <c r="G176" i="5" s="1"/>
  <c r="K176" i="5" s="1"/>
  <c r="B178" i="5"/>
  <c r="H178" i="5" s="1"/>
  <c r="G178" i="5" s="1"/>
  <c r="K178" i="5" s="1"/>
  <c r="B180" i="5"/>
  <c r="H180" i="5" s="1"/>
  <c r="G180" i="5" s="1"/>
  <c r="K180" i="5" s="1"/>
  <c r="B182" i="5"/>
  <c r="H182" i="5" s="1"/>
  <c r="G182" i="5" s="1"/>
  <c r="K182" i="5" s="1"/>
  <c r="B184" i="5"/>
  <c r="H184" i="5" s="1"/>
  <c r="G184" i="5" s="1"/>
  <c r="K184" i="5" s="1"/>
  <c r="B186" i="5"/>
  <c r="H186" i="5" s="1"/>
  <c r="G186" i="5" s="1"/>
  <c r="K186" i="5" s="1"/>
  <c r="B188" i="5"/>
  <c r="H188" i="5" s="1"/>
  <c r="G188" i="5" s="1"/>
  <c r="K188" i="5" s="1"/>
  <c r="B190" i="5"/>
  <c r="H190" i="5" s="1"/>
  <c r="G190" i="5" s="1"/>
  <c r="K190" i="5" s="1"/>
  <c r="B192" i="5"/>
  <c r="H192" i="5" s="1"/>
  <c r="G192" i="5" s="1"/>
  <c r="K192" i="5" s="1"/>
  <c r="B194" i="5"/>
  <c r="H194" i="5" s="1"/>
  <c r="G194" i="5" s="1"/>
  <c r="K194" i="5" s="1"/>
  <c r="T8" i="5"/>
  <c r="R8" i="5"/>
  <c r="P8" i="5"/>
  <c r="L8" i="5"/>
  <c r="N8" i="5" s="1"/>
  <c r="Q8" i="5"/>
  <c r="S8" i="5"/>
  <c r="O8" i="5"/>
  <c r="S10" i="5"/>
  <c r="Q10" i="5"/>
  <c r="O10" i="5"/>
  <c r="R10" i="5"/>
  <c r="L10" i="5"/>
  <c r="N10" i="5" s="1"/>
  <c r="T10" i="5"/>
  <c r="P10" i="5"/>
  <c r="T12" i="5"/>
  <c r="R12" i="5"/>
  <c r="P12" i="5"/>
  <c r="L12" i="5"/>
  <c r="N12" i="5" s="1"/>
  <c r="Q12" i="5"/>
  <c r="S12" i="5"/>
  <c r="O12" i="5"/>
  <c r="S14" i="5"/>
  <c r="Q14" i="5"/>
  <c r="O14" i="5"/>
  <c r="R14" i="5"/>
  <c r="L14" i="5"/>
  <c r="N14" i="5" s="1"/>
  <c r="T14" i="5"/>
  <c r="P14" i="5"/>
  <c r="T16" i="5"/>
  <c r="R16" i="5"/>
  <c r="P16" i="5"/>
  <c r="L16" i="5"/>
  <c r="N16" i="5" s="1"/>
  <c r="S16" i="5"/>
  <c r="O16" i="5"/>
  <c r="Q16" i="5"/>
  <c r="S18" i="5"/>
  <c r="Q18" i="5"/>
  <c r="O18" i="5"/>
  <c r="T18" i="5"/>
  <c r="P18" i="5"/>
  <c r="R18" i="5"/>
  <c r="L18" i="5"/>
  <c r="N18" i="5" s="1"/>
  <c r="T20" i="5"/>
  <c r="R20" i="5"/>
  <c r="P20" i="5"/>
  <c r="L20" i="5"/>
  <c r="N20" i="5" s="1"/>
  <c r="S20" i="5"/>
  <c r="O20" i="5"/>
  <c r="Q20" i="5"/>
  <c r="S22" i="5"/>
  <c r="Q22" i="5"/>
  <c r="O22" i="5"/>
  <c r="T22" i="5"/>
  <c r="R22" i="5"/>
  <c r="P22" i="5"/>
  <c r="L22" i="5"/>
  <c r="N22" i="5" s="1"/>
  <c r="T24" i="5"/>
  <c r="R24" i="5"/>
  <c r="P24" i="5"/>
  <c r="L24" i="5"/>
  <c r="N24" i="5" s="1"/>
  <c r="S24" i="5"/>
  <c r="Q24" i="5"/>
  <c r="O24" i="5"/>
  <c r="Q27" i="5"/>
  <c r="O27" i="5"/>
  <c r="S27" i="5"/>
  <c r="P27" i="5"/>
  <c r="L27" i="5"/>
  <c r="N27" i="5" s="1"/>
  <c r="S29" i="5"/>
  <c r="P29" i="5"/>
  <c r="L29" i="5"/>
  <c r="N29" i="5" s="1"/>
  <c r="Q29" i="5"/>
  <c r="O29" i="5"/>
  <c r="M29" i="5"/>
  <c r="T29" i="5"/>
  <c r="T27" i="5"/>
  <c r="T9" i="5"/>
  <c r="R9" i="5"/>
  <c r="P9" i="5"/>
  <c r="L9" i="5"/>
  <c r="M9" i="5" s="1"/>
  <c r="S9" i="5"/>
  <c r="Q9" i="5"/>
  <c r="O9" i="5"/>
  <c r="N9" i="5"/>
  <c r="S13" i="5"/>
  <c r="Q13" i="5"/>
  <c r="O13" i="5"/>
  <c r="T13" i="5"/>
  <c r="R13" i="5"/>
  <c r="P13" i="5"/>
  <c r="L13" i="5"/>
  <c r="M13" i="5" s="1"/>
  <c r="T17" i="5"/>
  <c r="R17" i="5"/>
  <c r="P17" i="5"/>
  <c r="L17" i="5"/>
  <c r="M17" i="5" s="1"/>
  <c r="S17" i="5"/>
  <c r="Q17" i="5"/>
  <c r="O17" i="5"/>
  <c r="N17" i="5"/>
  <c r="S21" i="5"/>
  <c r="Q21" i="5"/>
  <c r="O21" i="5"/>
  <c r="T21" i="5"/>
  <c r="R21" i="5"/>
  <c r="P21" i="5"/>
  <c r="L21" i="5"/>
  <c r="M21" i="5" s="1"/>
  <c r="S25" i="5"/>
  <c r="Q25" i="5"/>
  <c r="O25" i="5"/>
  <c r="T25" i="5"/>
  <c r="R25" i="5"/>
  <c r="P25" i="5"/>
  <c r="L25" i="5"/>
  <c r="M25" i="5" s="1"/>
  <c r="T26" i="5"/>
  <c r="R26" i="5"/>
  <c r="P26" i="5"/>
  <c r="S26" i="5"/>
  <c r="Q26" i="5"/>
  <c r="O26" i="5"/>
  <c r="L26" i="5"/>
  <c r="N26" i="5" s="1"/>
  <c r="T30" i="5"/>
  <c r="L30" i="5"/>
  <c r="M30" i="5" s="1"/>
  <c r="S30" i="5"/>
  <c r="Q30" i="5"/>
  <c r="O30" i="5"/>
  <c r="N30" i="5"/>
  <c r="R30" i="5"/>
  <c r="P30" i="5"/>
  <c r="T31" i="5"/>
  <c r="R31" i="5"/>
  <c r="P31" i="5"/>
  <c r="L31" i="5"/>
  <c r="M31" i="5" s="1"/>
  <c r="S31" i="5"/>
  <c r="Q31" i="5"/>
  <c r="O31" i="5"/>
  <c r="N31" i="5"/>
  <c r="L7" i="5"/>
  <c r="N7" i="5" s="1"/>
  <c r="O7" i="5"/>
  <c r="Q7" i="5"/>
  <c r="T7" i="5"/>
  <c r="R7" i="5"/>
  <c r="P7" i="5"/>
  <c r="S7" i="5"/>
  <c r="O11" i="5"/>
  <c r="T11" i="5"/>
  <c r="R11" i="5"/>
  <c r="P11" i="5"/>
  <c r="L11" i="5"/>
  <c r="N11" i="5" s="1"/>
  <c r="S11" i="5"/>
  <c r="Q11" i="5"/>
  <c r="M11" i="5"/>
  <c r="T15" i="5"/>
  <c r="R15" i="5"/>
  <c r="P15" i="5"/>
  <c r="L15" i="5"/>
  <c r="M15" i="5" s="1"/>
  <c r="S15" i="5"/>
  <c r="Q15" i="5"/>
  <c r="O15" i="5"/>
  <c r="N15" i="5"/>
  <c r="S19" i="5"/>
  <c r="Q19" i="5"/>
  <c r="O19" i="5"/>
  <c r="T19" i="5"/>
  <c r="R19" i="5"/>
  <c r="P19" i="5"/>
  <c r="L19" i="5"/>
  <c r="M19" i="5" s="1"/>
  <c r="T23" i="5"/>
  <c r="R23" i="5"/>
  <c r="P23" i="5"/>
  <c r="L23" i="5"/>
  <c r="M23" i="5" s="1"/>
  <c r="S23" i="5"/>
  <c r="Q23" i="5"/>
  <c r="O23" i="5"/>
  <c r="N23" i="5"/>
  <c r="T28" i="5"/>
  <c r="R28" i="5"/>
  <c r="P28" i="5"/>
  <c r="S28" i="5"/>
  <c r="Q28" i="5"/>
  <c r="O28" i="5"/>
  <c r="L28" i="5"/>
  <c r="N28" i="5" s="1"/>
  <c r="M8" i="5"/>
  <c r="M10" i="5"/>
  <c r="M12" i="5"/>
  <c r="M14" i="5"/>
  <c r="M16" i="5"/>
  <c r="M18" i="5"/>
  <c r="M20" i="5"/>
  <c r="M22" i="5"/>
  <c r="M24" i="5"/>
  <c r="R27" i="5"/>
  <c r="R29" i="5"/>
  <c r="R33" i="5"/>
  <c r="R35" i="5"/>
  <c r="R37" i="5"/>
  <c r="R39" i="5"/>
  <c r="R41" i="5"/>
  <c r="R43" i="5"/>
  <c r="R45" i="5"/>
  <c r="R47" i="5"/>
  <c r="R49" i="5"/>
  <c r="R51" i="5"/>
  <c r="R53" i="5"/>
  <c r="R55" i="5"/>
  <c r="R57" i="5"/>
  <c r="R59" i="5"/>
  <c r="R61" i="5"/>
  <c r="R63" i="5"/>
  <c r="R65" i="5"/>
  <c r="R67" i="5"/>
  <c r="R69" i="5"/>
  <c r="R71" i="5"/>
  <c r="R73" i="5"/>
  <c r="R75" i="5"/>
  <c r="R77" i="5"/>
  <c r="R79" i="5"/>
  <c r="R81" i="5"/>
  <c r="R83" i="5"/>
  <c r="R85" i="5"/>
  <c r="R87" i="5"/>
  <c r="R89" i="5"/>
  <c r="R91" i="5"/>
  <c r="R93" i="5"/>
  <c r="R95" i="5"/>
  <c r="R97" i="5"/>
  <c r="R99" i="5"/>
  <c r="R101" i="5"/>
  <c r="R103" i="5"/>
  <c r="R105" i="5"/>
  <c r="R107" i="5"/>
  <c r="R109" i="5"/>
  <c r="R111" i="5"/>
  <c r="R113" i="5"/>
  <c r="R115" i="5"/>
  <c r="R117" i="5"/>
  <c r="R119" i="5"/>
  <c r="R121" i="5"/>
  <c r="R123" i="5"/>
  <c r="T125" i="5"/>
  <c r="R125" i="5"/>
  <c r="T127" i="5"/>
  <c r="R127" i="5"/>
  <c r="T129" i="5"/>
  <c r="R129" i="5"/>
  <c r="T131" i="5"/>
  <c r="R131" i="5"/>
  <c r="T133" i="5"/>
  <c r="R133" i="5"/>
  <c r="T135" i="5"/>
  <c r="R135" i="5"/>
  <c r="T137" i="5"/>
  <c r="R137" i="5"/>
  <c r="T139" i="5"/>
  <c r="R139" i="5"/>
  <c r="T141" i="5"/>
  <c r="R141" i="5"/>
  <c r="T143" i="5"/>
  <c r="R143" i="5"/>
  <c r="T145" i="5"/>
  <c r="R145" i="5"/>
  <c r="T147" i="5"/>
  <c r="R147" i="5"/>
  <c r="T149" i="5"/>
  <c r="R149" i="5"/>
  <c r="T151" i="5"/>
  <c r="R151" i="5"/>
  <c r="T153" i="5"/>
  <c r="R153" i="5"/>
  <c r="T155" i="5"/>
  <c r="R155" i="5"/>
  <c r="T157" i="5"/>
  <c r="R157" i="5"/>
  <c r="T159" i="5"/>
  <c r="R159" i="5"/>
  <c r="T161" i="5"/>
  <c r="R161" i="5"/>
  <c r="T163" i="5"/>
  <c r="R163" i="5"/>
  <c r="T165" i="5"/>
  <c r="R165" i="5"/>
  <c r="T167" i="5"/>
  <c r="R167" i="5"/>
  <c r="T169" i="5"/>
  <c r="R169" i="5"/>
  <c r="T171" i="5"/>
  <c r="R171" i="5"/>
  <c r="T173" i="5"/>
  <c r="R173" i="5"/>
  <c r="T175" i="5"/>
  <c r="R175" i="5"/>
  <c r="T177" i="5"/>
  <c r="R177" i="5"/>
  <c r="T179" i="5"/>
  <c r="R179" i="5"/>
  <c r="T181" i="5"/>
  <c r="R181" i="5"/>
  <c r="T183" i="5"/>
  <c r="R183" i="5"/>
  <c r="T185" i="5"/>
  <c r="R185" i="5"/>
  <c r="T187" i="5"/>
  <c r="R187" i="5"/>
  <c r="T189" i="5"/>
  <c r="R189" i="5"/>
  <c r="T191" i="5"/>
  <c r="R191" i="5"/>
  <c r="T193" i="5"/>
  <c r="R193" i="5"/>
  <c r="T195" i="5"/>
  <c r="R195" i="5"/>
  <c r="N196" i="5"/>
  <c r="M196" i="5"/>
  <c r="E5" i="1"/>
  <c r="D5" i="1"/>
  <c r="E10" i="1"/>
  <c r="Q185" i="5" l="1"/>
  <c r="O185" i="5"/>
  <c r="S185" i="5"/>
  <c r="P185" i="5"/>
  <c r="L185" i="5"/>
  <c r="Q169" i="5"/>
  <c r="O169" i="5"/>
  <c r="S169" i="5"/>
  <c r="P169" i="5"/>
  <c r="L169" i="5"/>
  <c r="Q153" i="5"/>
  <c r="O153" i="5"/>
  <c r="S153" i="5"/>
  <c r="P153" i="5"/>
  <c r="L153" i="5"/>
  <c r="Q137" i="5"/>
  <c r="O137" i="5"/>
  <c r="S137" i="5"/>
  <c r="P137" i="5"/>
  <c r="L137" i="5"/>
  <c r="Q121" i="5"/>
  <c r="O121" i="5"/>
  <c r="S121" i="5"/>
  <c r="P121" i="5"/>
  <c r="L121" i="5"/>
  <c r="Q107" i="5"/>
  <c r="O107" i="5"/>
  <c r="S107" i="5"/>
  <c r="L107" i="5"/>
  <c r="P107" i="5"/>
  <c r="Q99" i="5"/>
  <c r="O99" i="5"/>
  <c r="N99" i="5"/>
  <c r="M99" i="5"/>
  <c r="S99" i="5"/>
  <c r="L99" i="5"/>
  <c r="P99" i="5"/>
  <c r="Q91" i="5"/>
  <c r="O91" i="5"/>
  <c r="N91" i="5"/>
  <c r="M91" i="5"/>
  <c r="S91" i="5"/>
  <c r="L91" i="5"/>
  <c r="P91" i="5"/>
  <c r="Q83" i="5"/>
  <c r="O83" i="5"/>
  <c r="N83" i="5"/>
  <c r="M83" i="5"/>
  <c r="S83" i="5"/>
  <c r="L83" i="5"/>
  <c r="P83" i="5"/>
  <c r="S75" i="5"/>
  <c r="P75" i="5"/>
  <c r="L75" i="5"/>
  <c r="Q75" i="5"/>
  <c r="O75" i="5"/>
  <c r="N75" i="5"/>
  <c r="M75" i="5"/>
  <c r="Q67" i="5"/>
  <c r="O67" i="5"/>
  <c r="N67" i="5"/>
  <c r="M67" i="5"/>
  <c r="S67" i="5"/>
  <c r="P67" i="5"/>
  <c r="L67" i="5"/>
  <c r="L59" i="5"/>
  <c r="Q59" i="5"/>
  <c r="O59" i="5"/>
  <c r="N59" i="5"/>
  <c r="M59" i="5"/>
  <c r="S59" i="5"/>
  <c r="P59" i="5"/>
  <c r="T121" i="5"/>
  <c r="T107" i="5"/>
  <c r="T99" i="5"/>
  <c r="T91" i="5"/>
  <c r="T83" i="5"/>
  <c r="T75" i="5"/>
  <c r="T67" i="5"/>
  <c r="T59" i="5"/>
  <c r="S193" i="5"/>
  <c r="L193" i="5"/>
  <c r="P193" i="5"/>
  <c r="Q177" i="5"/>
  <c r="O177" i="5"/>
  <c r="S177" i="5"/>
  <c r="P177" i="5"/>
  <c r="L177" i="5"/>
  <c r="Q161" i="5"/>
  <c r="O161" i="5"/>
  <c r="S161" i="5"/>
  <c r="P161" i="5"/>
  <c r="L161" i="5"/>
  <c r="Q145" i="5"/>
  <c r="O145" i="5"/>
  <c r="S145" i="5"/>
  <c r="P145" i="5"/>
  <c r="L145" i="5"/>
  <c r="Q129" i="5"/>
  <c r="O129" i="5"/>
  <c r="S129" i="5"/>
  <c r="P129" i="5"/>
  <c r="L129" i="5"/>
  <c r="Q113" i="5"/>
  <c r="O113" i="5"/>
  <c r="S113" i="5"/>
  <c r="L113" i="5"/>
  <c r="P113" i="5"/>
  <c r="Q103" i="5"/>
  <c r="O103" i="5"/>
  <c r="S103" i="5"/>
  <c r="L103" i="5"/>
  <c r="P103" i="5"/>
  <c r="Q95" i="5"/>
  <c r="O95" i="5"/>
  <c r="N95" i="5"/>
  <c r="M95" i="5"/>
  <c r="S95" i="5"/>
  <c r="L95" i="5"/>
  <c r="P95" i="5"/>
  <c r="Q87" i="5"/>
  <c r="O87" i="5"/>
  <c r="N87" i="5"/>
  <c r="M87" i="5"/>
  <c r="S87" i="5"/>
  <c r="L87" i="5"/>
  <c r="P87" i="5"/>
  <c r="Q79" i="5"/>
  <c r="O79" i="5"/>
  <c r="N79" i="5"/>
  <c r="M79" i="5"/>
  <c r="S79" i="5"/>
  <c r="L79" i="5"/>
  <c r="P79" i="5"/>
  <c r="S71" i="5"/>
  <c r="P71" i="5"/>
  <c r="L71" i="5"/>
  <c r="Q71" i="5"/>
  <c r="O71" i="5"/>
  <c r="N71" i="5"/>
  <c r="M71" i="5"/>
  <c r="P63" i="5"/>
  <c r="Q63" i="5"/>
  <c r="O63" i="5"/>
  <c r="N63" i="5"/>
  <c r="M63" i="5"/>
  <c r="S63" i="5"/>
  <c r="L63" i="5"/>
  <c r="S55" i="5"/>
  <c r="L55" i="5"/>
  <c r="Q55" i="5"/>
  <c r="O55" i="5"/>
  <c r="N55" i="5"/>
  <c r="M55" i="5"/>
  <c r="P55" i="5"/>
  <c r="T113" i="5"/>
  <c r="T103" i="5"/>
  <c r="T95" i="5"/>
  <c r="T87" i="5"/>
  <c r="T79" i="5"/>
  <c r="T71" i="5"/>
  <c r="T63" i="5"/>
  <c r="T55" i="5"/>
  <c r="M27" i="5"/>
  <c r="S195" i="5"/>
  <c r="P195" i="5"/>
  <c r="L195" i="5"/>
  <c r="M195" i="5" s="1"/>
  <c r="Q195" i="5"/>
  <c r="N195" i="5"/>
  <c r="O195" i="5"/>
  <c r="Q187" i="5"/>
  <c r="O187" i="5"/>
  <c r="S187" i="5"/>
  <c r="P187" i="5"/>
  <c r="L187" i="5"/>
  <c r="N187" i="5" s="1"/>
  <c r="Q179" i="5"/>
  <c r="O179" i="5"/>
  <c r="S179" i="5"/>
  <c r="P179" i="5"/>
  <c r="L179" i="5"/>
  <c r="N179" i="5" s="1"/>
  <c r="Q171" i="5"/>
  <c r="O171" i="5"/>
  <c r="S171" i="5"/>
  <c r="P171" i="5"/>
  <c r="L171" i="5"/>
  <c r="N171" i="5" s="1"/>
  <c r="Q163" i="5"/>
  <c r="O163" i="5"/>
  <c r="S163" i="5"/>
  <c r="P163" i="5"/>
  <c r="L163" i="5"/>
  <c r="N163" i="5" s="1"/>
  <c r="Q155" i="5"/>
  <c r="O155" i="5"/>
  <c r="M155" i="5"/>
  <c r="S155" i="5"/>
  <c r="P155" i="5"/>
  <c r="L155" i="5"/>
  <c r="N155" i="5" s="1"/>
  <c r="Q147" i="5"/>
  <c r="O147" i="5"/>
  <c r="S147" i="5"/>
  <c r="P147" i="5"/>
  <c r="L147" i="5"/>
  <c r="N147" i="5" s="1"/>
  <c r="Q139" i="5"/>
  <c r="O139" i="5"/>
  <c r="S139" i="5"/>
  <c r="P139" i="5"/>
  <c r="L139" i="5"/>
  <c r="N139" i="5" s="1"/>
  <c r="Q131" i="5"/>
  <c r="O131" i="5"/>
  <c r="S131" i="5"/>
  <c r="P131" i="5"/>
  <c r="L131" i="5"/>
  <c r="Q123" i="5"/>
  <c r="O123" i="5"/>
  <c r="S123" i="5"/>
  <c r="P123" i="5"/>
  <c r="L123" i="5"/>
  <c r="S115" i="5"/>
  <c r="P115" i="5"/>
  <c r="L115" i="5"/>
  <c r="N115" i="5" s="1"/>
  <c r="O115" i="5"/>
  <c r="Q115" i="5"/>
  <c r="T108" i="5"/>
  <c r="R108" i="5"/>
  <c r="P108" i="5"/>
  <c r="L108" i="5"/>
  <c r="Q108" i="5"/>
  <c r="S108" i="5"/>
  <c r="O108" i="5"/>
  <c r="T104" i="5"/>
  <c r="R104" i="5"/>
  <c r="P104" i="5"/>
  <c r="L104" i="5"/>
  <c r="Q104" i="5"/>
  <c r="S104" i="5"/>
  <c r="O104" i="5"/>
  <c r="T100" i="5"/>
  <c r="R100" i="5"/>
  <c r="P100" i="5"/>
  <c r="L100" i="5"/>
  <c r="S100" i="5"/>
  <c r="Q100" i="5"/>
  <c r="O100" i="5"/>
  <c r="T96" i="5"/>
  <c r="R96" i="5"/>
  <c r="P96" i="5"/>
  <c r="L96" i="5"/>
  <c r="S96" i="5"/>
  <c r="Q96" i="5"/>
  <c r="O96" i="5"/>
  <c r="T92" i="5"/>
  <c r="R92" i="5"/>
  <c r="P92" i="5"/>
  <c r="L92" i="5"/>
  <c r="S92" i="5"/>
  <c r="Q92" i="5"/>
  <c r="O92" i="5"/>
  <c r="T88" i="5"/>
  <c r="R88" i="5"/>
  <c r="P88" i="5"/>
  <c r="L88" i="5"/>
  <c r="S88" i="5"/>
  <c r="Q88" i="5"/>
  <c r="O88" i="5"/>
  <c r="T84" i="5"/>
  <c r="R84" i="5"/>
  <c r="P84" i="5"/>
  <c r="L84" i="5"/>
  <c r="S84" i="5"/>
  <c r="Q84" i="5"/>
  <c r="O84" i="5"/>
  <c r="T80" i="5"/>
  <c r="R80" i="5"/>
  <c r="P80" i="5"/>
  <c r="L80" i="5"/>
  <c r="S80" i="5"/>
  <c r="Q80" i="5"/>
  <c r="O80" i="5"/>
  <c r="T76" i="5"/>
  <c r="R76" i="5"/>
  <c r="P76" i="5"/>
  <c r="L76" i="5"/>
  <c r="S76" i="5"/>
  <c r="Q76" i="5"/>
  <c r="O76" i="5"/>
  <c r="T72" i="5"/>
  <c r="R72" i="5"/>
  <c r="P72" i="5"/>
  <c r="L72" i="5"/>
  <c r="S72" i="5"/>
  <c r="Q72" i="5"/>
  <c r="O72" i="5"/>
  <c r="T68" i="5"/>
  <c r="R68" i="5"/>
  <c r="P68" i="5"/>
  <c r="L68" i="5"/>
  <c r="S68" i="5"/>
  <c r="Q68" i="5"/>
  <c r="O68" i="5"/>
  <c r="T64" i="5"/>
  <c r="R64" i="5"/>
  <c r="P64" i="5"/>
  <c r="L64" i="5"/>
  <c r="S64" i="5"/>
  <c r="Q64" i="5"/>
  <c r="O64" i="5"/>
  <c r="T60" i="5"/>
  <c r="R60" i="5"/>
  <c r="P60" i="5"/>
  <c r="L60" i="5"/>
  <c r="S60" i="5"/>
  <c r="Q60" i="5"/>
  <c r="O60" i="5"/>
  <c r="T56" i="5"/>
  <c r="R56" i="5"/>
  <c r="P56" i="5"/>
  <c r="L56" i="5"/>
  <c r="S56" i="5"/>
  <c r="Q56" i="5"/>
  <c r="O56" i="5"/>
  <c r="R52" i="5"/>
  <c r="S52" i="5"/>
  <c r="Q52" i="5"/>
  <c r="O52" i="5"/>
  <c r="T52" i="5"/>
  <c r="P52" i="5"/>
  <c r="L52" i="5"/>
  <c r="P48" i="5"/>
  <c r="S48" i="5"/>
  <c r="Q48" i="5"/>
  <c r="O48" i="5"/>
  <c r="T48" i="5"/>
  <c r="R48" i="5"/>
  <c r="L48" i="5"/>
  <c r="P44" i="5"/>
  <c r="S44" i="5"/>
  <c r="Q44" i="5"/>
  <c r="O44" i="5"/>
  <c r="T44" i="5"/>
  <c r="R44" i="5"/>
  <c r="L44" i="5"/>
  <c r="L40" i="5"/>
  <c r="S40" i="5"/>
  <c r="Q40" i="5"/>
  <c r="O40" i="5"/>
  <c r="T40" i="5"/>
  <c r="R40" i="5"/>
  <c r="P40" i="5"/>
  <c r="T36" i="5"/>
  <c r="R36" i="5"/>
  <c r="P36" i="5"/>
  <c r="S36" i="5"/>
  <c r="Q36" i="5"/>
  <c r="O36" i="5"/>
  <c r="L36" i="5"/>
  <c r="T32" i="5"/>
  <c r="R32" i="5"/>
  <c r="L32" i="5"/>
  <c r="S32" i="5"/>
  <c r="Q32" i="5"/>
  <c r="O32" i="5"/>
  <c r="P32" i="5"/>
  <c r="T115" i="5"/>
  <c r="S191" i="5"/>
  <c r="P191" i="5"/>
  <c r="L191" i="5"/>
  <c r="N191" i="5" s="1"/>
  <c r="O191" i="5"/>
  <c r="Q191" i="5"/>
  <c r="Q183" i="5"/>
  <c r="O183" i="5"/>
  <c r="S183" i="5"/>
  <c r="P183" i="5"/>
  <c r="L183" i="5"/>
  <c r="N183" i="5" s="1"/>
  <c r="Q175" i="5"/>
  <c r="O175" i="5"/>
  <c r="S175" i="5"/>
  <c r="P175" i="5"/>
  <c r="L175" i="5"/>
  <c r="N175" i="5" s="1"/>
  <c r="Q167" i="5"/>
  <c r="O167" i="5"/>
  <c r="S167" i="5"/>
  <c r="P167" i="5"/>
  <c r="L167" i="5"/>
  <c r="N167" i="5" s="1"/>
  <c r="Q159" i="5"/>
  <c r="O159" i="5"/>
  <c r="S159" i="5"/>
  <c r="P159" i="5"/>
  <c r="L159" i="5"/>
  <c r="N159" i="5" s="1"/>
  <c r="Q151" i="5"/>
  <c r="O151" i="5"/>
  <c r="S151" i="5"/>
  <c r="P151" i="5"/>
  <c r="L151" i="5"/>
  <c r="N151" i="5" s="1"/>
  <c r="Q143" i="5"/>
  <c r="O143" i="5"/>
  <c r="S143" i="5"/>
  <c r="P143" i="5"/>
  <c r="L143" i="5"/>
  <c r="N143" i="5" s="1"/>
  <c r="Q135" i="5"/>
  <c r="O135" i="5"/>
  <c r="S135" i="5"/>
  <c r="P135" i="5"/>
  <c r="L135" i="5"/>
  <c r="Q127" i="5"/>
  <c r="O127" i="5"/>
  <c r="S127" i="5"/>
  <c r="P127" i="5"/>
  <c r="L127" i="5"/>
  <c r="Q119" i="5"/>
  <c r="O119" i="5"/>
  <c r="S119" i="5"/>
  <c r="P119" i="5"/>
  <c r="L119" i="5"/>
  <c r="S111" i="5"/>
  <c r="P111" i="5"/>
  <c r="L111" i="5"/>
  <c r="M111" i="5" s="1"/>
  <c r="Q111" i="5"/>
  <c r="N111" i="5"/>
  <c r="O111" i="5"/>
  <c r="T106" i="5"/>
  <c r="R106" i="5"/>
  <c r="P106" i="5"/>
  <c r="L106" i="5"/>
  <c r="Q106" i="5"/>
  <c r="S106" i="5"/>
  <c r="O106" i="5"/>
  <c r="T102" i="5"/>
  <c r="R102" i="5"/>
  <c r="P102" i="5"/>
  <c r="Q102" i="5"/>
  <c r="L102" i="5"/>
  <c r="S102" i="5"/>
  <c r="O102" i="5"/>
  <c r="T98" i="5"/>
  <c r="R98" i="5"/>
  <c r="P98" i="5"/>
  <c r="L98" i="5"/>
  <c r="S98" i="5"/>
  <c r="Q98" i="5"/>
  <c r="O98" i="5"/>
  <c r="T94" i="5"/>
  <c r="R94" i="5"/>
  <c r="P94" i="5"/>
  <c r="L94" i="5"/>
  <c r="S94" i="5"/>
  <c r="Q94" i="5"/>
  <c r="O94" i="5"/>
  <c r="T90" i="5"/>
  <c r="R90" i="5"/>
  <c r="P90" i="5"/>
  <c r="L90" i="5"/>
  <c r="S90" i="5"/>
  <c r="Q90" i="5"/>
  <c r="O90" i="5"/>
  <c r="T86" i="5"/>
  <c r="R86" i="5"/>
  <c r="P86" i="5"/>
  <c r="L86" i="5"/>
  <c r="S86" i="5"/>
  <c r="Q86" i="5"/>
  <c r="O86" i="5"/>
  <c r="T82" i="5"/>
  <c r="R82" i="5"/>
  <c r="P82" i="5"/>
  <c r="L82" i="5"/>
  <c r="S82" i="5"/>
  <c r="Q82" i="5"/>
  <c r="O82" i="5"/>
  <c r="T78" i="5"/>
  <c r="R78" i="5"/>
  <c r="P78" i="5"/>
  <c r="L78" i="5"/>
  <c r="S78" i="5"/>
  <c r="Q78" i="5"/>
  <c r="O78" i="5"/>
  <c r="T74" i="5"/>
  <c r="R74" i="5"/>
  <c r="P74" i="5"/>
  <c r="L74" i="5"/>
  <c r="S74" i="5"/>
  <c r="Q74" i="5"/>
  <c r="O74" i="5"/>
  <c r="T70" i="5"/>
  <c r="R70" i="5"/>
  <c r="P70" i="5"/>
  <c r="L70" i="5"/>
  <c r="S70" i="5"/>
  <c r="Q70" i="5"/>
  <c r="O70" i="5"/>
  <c r="T66" i="5"/>
  <c r="R66" i="5"/>
  <c r="P66" i="5"/>
  <c r="L66" i="5"/>
  <c r="S66" i="5"/>
  <c r="Q66" i="5"/>
  <c r="O66" i="5"/>
  <c r="T62" i="5"/>
  <c r="R62" i="5"/>
  <c r="P62" i="5"/>
  <c r="L62" i="5"/>
  <c r="S62" i="5"/>
  <c r="Q62" i="5"/>
  <c r="O62" i="5"/>
  <c r="T58" i="5"/>
  <c r="R58" i="5"/>
  <c r="P58" i="5"/>
  <c r="L58" i="5"/>
  <c r="S58" i="5"/>
  <c r="Q58" i="5"/>
  <c r="O58" i="5"/>
  <c r="T54" i="5"/>
  <c r="R54" i="5"/>
  <c r="P54" i="5"/>
  <c r="S54" i="5"/>
  <c r="Q54" i="5"/>
  <c r="O54" i="5"/>
  <c r="L54" i="5"/>
  <c r="L50" i="5"/>
  <c r="S50" i="5"/>
  <c r="Q50" i="5"/>
  <c r="O50" i="5"/>
  <c r="T50" i="5"/>
  <c r="R50" i="5"/>
  <c r="P50" i="5"/>
  <c r="T46" i="5"/>
  <c r="R46" i="5"/>
  <c r="P46" i="5"/>
  <c r="S46" i="5"/>
  <c r="Q46" i="5"/>
  <c r="O46" i="5"/>
  <c r="L46" i="5"/>
  <c r="T42" i="5"/>
  <c r="R42" i="5"/>
  <c r="L42" i="5"/>
  <c r="S42" i="5"/>
  <c r="Q42" i="5"/>
  <c r="O42" i="5"/>
  <c r="P42" i="5"/>
  <c r="T38" i="5"/>
  <c r="P38" i="5"/>
  <c r="L38" i="5"/>
  <c r="S38" i="5"/>
  <c r="Q38" i="5"/>
  <c r="O38" i="5"/>
  <c r="R38" i="5"/>
  <c r="T34" i="5"/>
  <c r="R34" i="5"/>
  <c r="L34" i="5"/>
  <c r="S34" i="5"/>
  <c r="Q34" i="5"/>
  <c r="O34" i="5"/>
  <c r="P34" i="5"/>
  <c r="T123" i="5"/>
  <c r="T111" i="5"/>
  <c r="N13" i="5"/>
  <c r="S192" i="5"/>
  <c r="Q192" i="5"/>
  <c r="O192" i="5"/>
  <c r="R192" i="5"/>
  <c r="L192" i="5"/>
  <c r="T192" i="5"/>
  <c r="P192" i="5"/>
  <c r="S188" i="5"/>
  <c r="Q188" i="5"/>
  <c r="O188" i="5"/>
  <c r="R188" i="5"/>
  <c r="L188" i="5"/>
  <c r="T188" i="5"/>
  <c r="P188" i="5"/>
  <c r="S184" i="5"/>
  <c r="Q184" i="5"/>
  <c r="O184" i="5"/>
  <c r="R184" i="5"/>
  <c r="L184" i="5"/>
  <c r="T184" i="5"/>
  <c r="P184" i="5"/>
  <c r="S180" i="5"/>
  <c r="Q180" i="5"/>
  <c r="O180" i="5"/>
  <c r="R180" i="5"/>
  <c r="L180" i="5"/>
  <c r="T180" i="5"/>
  <c r="P180" i="5"/>
  <c r="S176" i="5"/>
  <c r="Q176" i="5"/>
  <c r="O176" i="5"/>
  <c r="R176" i="5"/>
  <c r="L176" i="5"/>
  <c r="T176" i="5"/>
  <c r="P176" i="5"/>
  <c r="S172" i="5"/>
  <c r="Q172" i="5"/>
  <c r="O172" i="5"/>
  <c r="R172" i="5"/>
  <c r="L172" i="5"/>
  <c r="T172" i="5"/>
  <c r="P172" i="5"/>
  <c r="S168" i="5"/>
  <c r="Q168" i="5"/>
  <c r="O168" i="5"/>
  <c r="R168" i="5"/>
  <c r="L168" i="5"/>
  <c r="T168" i="5"/>
  <c r="P168" i="5"/>
  <c r="S164" i="5"/>
  <c r="Q164" i="5"/>
  <c r="O164" i="5"/>
  <c r="R164" i="5"/>
  <c r="L164" i="5"/>
  <c r="T164" i="5"/>
  <c r="P164" i="5"/>
  <c r="S160" i="5"/>
  <c r="Q160" i="5"/>
  <c r="O160" i="5"/>
  <c r="R160" i="5"/>
  <c r="L160" i="5"/>
  <c r="T160" i="5"/>
  <c r="P160" i="5"/>
  <c r="S156" i="5"/>
  <c r="Q156" i="5"/>
  <c r="O156" i="5"/>
  <c r="R156" i="5"/>
  <c r="L156" i="5"/>
  <c r="T156" i="5"/>
  <c r="P156" i="5"/>
  <c r="S152" i="5"/>
  <c r="Q152" i="5"/>
  <c r="O152" i="5"/>
  <c r="R152" i="5"/>
  <c r="L152" i="5"/>
  <c r="T152" i="5"/>
  <c r="P152" i="5"/>
  <c r="S148" i="5"/>
  <c r="Q148" i="5"/>
  <c r="O148" i="5"/>
  <c r="R148" i="5"/>
  <c r="L148" i="5"/>
  <c r="T148" i="5"/>
  <c r="P148" i="5"/>
  <c r="S144" i="5"/>
  <c r="Q144" i="5"/>
  <c r="O144" i="5"/>
  <c r="R144" i="5"/>
  <c r="L144" i="5"/>
  <c r="T144" i="5"/>
  <c r="P144" i="5"/>
  <c r="S140" i="5"/>
  <c r="Q140" i="5"/>
  <c r="O140" i="5"/>
  <c r="R140" i="5"/>
  <c r="L140" i="5"/>
  <c r="T140" i="5"/>
  <c r="P140" i="5"/>
  <c r="S136" i="5"/>
  <c r="Q136" i="5"/>
  <c r="O136" i="5"/>
  <c r="T136" i="5"/>
  <c r="R136" i="5"/>
  <c r="P136" i="5"/>
  <c r="L136" i="5"/>
  <c r="S132" i="5"/>
  <c r="Q132" i="5"/>
  <c r="O132" i="5"/>
  <c r="T132" i="5"/>
  <c r="R132" i="5"/>
  <c r="P132" i="5"/>
  <c r="L132" i="5"/>
  <c r="S128" i="5"/>
  <c r="Q128" i="5"/>
  <c r="O128" i="5"/>
  <c r="T128" i="5"/>
  <c r="R128" i="5"/>
  <c r="P128" i="5"/>
  <c r="L128" i="5"/>
  <c r="S124" i="5"/>
  <c r="Q124" i="5"/>
  <c r="O124" i="5"/>
  <c r="T124" i="5"/>
  <c r="R124" i="5"/>
  <c r="P124" i="5"/>
  <c r="L124" i="5"/>
  <c r="S120" i="5"/>
  <c r="Q120" i="5"/>
  <c r="O120" i="5"/>
  <c r="T120" i="5"/>
  <c r="R120" i="5"/>
  <c r="P120" i="5"/>
  <c r="L120" i="5"/>
  <c r="S116" i="5"/>
  <c r="Q116" i="5"/>
  <c r="O116" i="5"/>
  <c r="T116" i="5"/>
  <c r="R116" i="5"/>
  <c r="P116" i="5"/>
  <c r="L116" i="5"/>
  <c r="S112" i="5"/>
  <c r="Q112" i="5"/>
  <c r="O112" i="5"/>
  <c r="T112" i="5"/>
  <c r="R112" i="5"/>
  <c r="P112" i="5"/>
  <c r="L112" i="5"/>
  <c r="M28" i="5"/>
  <c r="N19" i="5"/>
  <c r="M7" i="5"/>
  <c r="M26" i="5"/>
  <c r="N21" i="5"/>
  <c r="S194" i="5"/>
  <c r="Q194" i="5"/>
  <c r="O194" i="5"/>
  <c r="T194" i="5"/>
  <c r="P194" i="5"/>
  <c r="R194" i="5"/>
  <c r="L194" i="5"/>
  <c r="S190" i="5"/>
  <c r="Q190" i="5"/>
  <c r="O190" i="5"/>
  <c r="T190" i="5"/>
  <c r="P190" i="5"/>
  <c r="R190" i="5"/>
  <c r="L190" i="5"/>
  <c r="S186" i="5"/>
  <c r="Q186" i="5"/>
  <c r="O186" i="5"/>
  <c r="T186" i="5"/>
  <c r="P186" i="5"/>
  <c r="R186" i="5"/>
  <c r="L186" i="5"/>
  <c r="S182" i="5"/>
  <c r="Q182" i="5"/>
  <c r="O182" i="5"/>
  <c r="T182" i="5"/>
  <c r="P182" i="5"/>
  <c r="R182" i="5"/>
  <c r="L182" i="5"/>
  <c r="S178" i="5"/>
  <c r="Q178" i="5"/>
  <c r="O178" i="5"/>
  <c r="T178" i="5"/>
  <c r="P178" i="5"/>
  <c r="R178" i="5"/>
  <c r="L178" i="5"/>
  <c r="S174" i="5"/>
  <c r="Q174" i="5"/>
  <c r="O174" i="5"/>
  <c r="T174" i="5"/>
  <c r="P174" i="5"/>
  <c r="R174" i="5"/>
  <c r="L174" i="5"/>
  <c r="S170" i="5"/>
  <c r="Q170" i="5"/>
  <c r="O170" i="5"/>
  <c r="T170" i="5"/>
  <c r="P170" i="5"/>
  <c r="R170" i="5"/>
  <c r="L170" i="5"/>
  <c r="S166" i="5"/>
  <c r="Q166" i="5"/>
  <c r="O166" i="5"/>
  <c r="T166" i="5"/>
  <c r="P166" i="5"/>
  <c r="R166" i="5"/>
  <c r="L166" i="5"/>
  <c r="S162" i="5"/>
  <c r="Q162" i="5"/>
  <c r="O162" i="5"/>
  <c r="T162" i="5"/>
  <c r="P162" i="5"/>
  <c r="R162" i="5"/>
  <c r="L162" i="5"/>
  <c r="S158" i="5"/>
  <c r="Q158" i="5"/>
  <c r="O158" i="5"/>
  <c r="T158" i="5"/>
  <c r="P158" i="5"/>
  <c r="R158" i="5"/>
  <c r="L158" i="5"/>
  <c r="S154" i="5"/>
  <c r="Q154" i="5"/>
  <c r="O154" i="5"/>
  <c r="T154" i="5"/>
  <c r="P154" i="5"/>
  <c r="R154" i="5"/>
  <c r="L154" i="5"/>
  <c r="S150" i="5"/>
  <c r="Q150" i="5"/>
  <c r="O150" i="5"/>
  <c r="T150" i="5"/>
  <c r="P150" i="5"/>
  <c r="R150" i="5"/>
  <c r="L150" i="5"/>
  <c r="S146" i="5"/>
  <c r="Q146" i="5"/>
  <c r="O146" i="5"/>
  <c r="T146" i="5"/>
  <c r="P146" i="5"/>
  <c r="R146" i="5"/>
  <c r="L146" i="5"/>
  <c r="S142" i="5"/>
  <c r="Q142" i="5"/>
  <c r="O142" i="5"/>
  <c r="T142" i="5"/>
  <c r="P142" i="5"/>
  <c r="R142" i="5"/>
  <c r="L142" i="5"/>
  <c r="S138" i="5"/>
  <c r="T138" i="5"/>
  <c r="Q138" i="5"/>
  <c r="O138" i="5"/>
  <c r="R138" i="5"/>
  <c r="P138" i="5"/>
  <c r="L138" i="5"/>
  <c r="S134" i="5"/>
  <c r="Q134" i="5"/>
  <c r="O134" i="5"/>
  <c r="T134" i="5"/>
  <c r="R134" i="5"/>
  <c r="P134" i="5"/>
  <c r="L134" i="5"/>
  <c r="S130" i="5"/>
  <c r="Q130" i="5"/>
  <c r="O130" i="5"/>
  <c r="T130" i="5"/>
  <c r="R130" i="5"/>
  <c r="P130" i="5"/>
  <c r="L130" i="5"/>
  <c r="S126" i="5"/>
  <c r="Q126" i="5"/>
  <c r="O126" i="5"/>
  <c r="T126" i="5"/>
  <c r="R126" i="5"/>
  <c r="P126" i="5"/>
  <c r="L126" i="5"/>
  <c r="S122" i="5"/>
  <c r="Q122" i="5"/>
  <c r="O122" i="5"/>
  <c r="T122" i="5"/>
  <c r="R122" i="5"/>
  <c r="P122" i="5"/>
  <c r="L122" i="5"/>
  <c r="S118" i="5"/>
  <c r="Q118" i="5"/>
  <c r="O118" i="5"/>
  <c r="T118" i="5"/>
  <c r="R118" i="5"/>
  <c r="P118" i="5"/>
  <c r="L118" i="5"/>
  <c r="S114" i="5"/>
  <c r="Q114" i="5"/>
  <c r="O114" i="5"/>
  <c r="T114" i="5"/>
  <c r="R114" i="5"/>
  <c r="P114" i="5"/>
  <c r="L114" i="5"/>
  <c r="S110" i="5"/>
  <c r="Q110" i="5"/>
  <c r="O110" i="5"/>
  <c r="T110" i="5"/>
  <c r="R110" i="5"/>
  <c r="P110" i="5"/>
  <c r="L110" i="5"/>
  <c r="C10" i="1"/>
  <c r="B10" i="1"/>
  <c r="N25" i="5"/>
  <c r="M183" i="5" l="1"/>
  <c r="M103" i="5"/>
  <c r="N103" i="5"/>
  <c r="N145" i="5"/>
  <c r="M145" i="5"/>
  <c r="N177" i="5"/>
  <c r="M177" i="5"/>
  <c r="N193" i="5"/>
  <c r="M193" i="5"/>
  <c r="N137" i="5"/>
  <c r="M137" i="5"/>
  <c r="N169" i="5"/>
  <c r="M169" i="5"/>
  <c r="N113" i="5"/>
  <c r="M113" i="5"/>
  <c r="N129" i="5"/>
  <c r="M129" i="5"/>
  <c r="N161" i="5"/>
  <c r="M161" i="5"/>
  <c r="M107" i="5"/>
  <c r="N107" i="5"/>
  <c r="N121" i="5"/>
  <c r="M121" i="5"/>
  <c r="N153" i="5"/>
  <c r="M153" i="5"/>
  <c r="N185" i="5"/>
  <c r="M185" i="5"/>
  <c r="M151" i="5"/>
  <c r="M115" i="5"/>
  <c r="M187" i="5"/>
  <c r="N34" i="5"/>
  <c r="M34" i="5"/>
  <c r="N42" i="5"/>
  <c r="M42" i="5"/>
  <c r="N50" i="5"/>
  <c r="M50" i="5"/>
  <c r="N62" i="5"/>
  <c r="M62" i="5"/>
  <c r="N70" i="5"/>
  <c r="M70" i="5"/>
  <c r="N78" i="5"/>
  <c r="M78" i="5"/>
  <c r="N86" i="5"/>
  <c r="M86" i="5"/>
  <c r="N94" i="5"/>
  <c r="M94" i="5"/>
  <c r="N32" i="5"/>
  <c r="M32" i="5"/>
  <c r="N40" i="5"/>
  <c r="M40" i="5"/>
  <c r="N48" i="5"/>
  <c r="M48" i="5"/>
  <c r="N60" i="5"/>
  <c r="M60" i="5"/>
  <c r="N68" i="5"/>
  <c r="M68" i="5"/>
  <c r="N76" i="5"/>
  <c r="M76" i="5"/>
  <c r="N84" i="5"/>
  <c r="M84" i="5"/>
  <c r="N92" i="5"/>
  <c r="M92" i="5"/>
  <c r="N100" i="5"/>
  <c r="M100" i="5"/>
  <c r="N38" i="5"/>
  <c r="M38" i="5"/>
  <c r="N46" i="5"/>
  <c r="M46" i="5"/>
  <c r="N54" i="5"/>
  <c r="M54" i="5"/>
  <c r="N58" i="5"/>
  <c r="M58" i="5"/>
  <c r="N66" i="5"/>
  <c r="M66" i="5"/>
  <c r="N74" i="5"/>
  <c r="M74" i="5"/>
  <c r="N82" i="5"/>
  <c r="M82" i="5"/>
  <c r="N90" i="5"/>
  <c r="M90" i="5"/>
  <c r="N98" i="5"/>
  <c r="M98" i="5"/>
  <c r="M167" i="5"/>
  <c r="M191" i="5"/>
  <c r="N36" i="5"/>
  <c r="M36" i="5"/>
  <c r="N44" i="5"/>
  <c r="M44" i="5"/>
  <c r="N52" i="5"/>
  <c r="M52" i="5"/>
  <c r="N56" i="5"/>
  <c r="M56" i="5"/>
  <c r="N64" i="5"/>
  <c r="M64" i="5"/>
  <c r="N72" i="5"/>
  <c r="M72" i="5"/>
  <c r="N80" i="5"/>
  <c r="M80" i="5"/>
  <c r="N88" i="5"/>
  <c r="M88" i="5"/>
  <c r="N96" i="5"/>
  <c r="M96" i="5"/>
  <c r="M139" i="5"/>
  <c r="M171" i="5"/>
  <c r="N119" i="5"/>
  <c r="M119" i="5"/>
  <c r="N135" i="5"/>
  <c r="M135" i="5"/>
  <c r="M143" i="5"/>
  <c r="M159" i="5"/>
  <c r="M175" i="5"/>
  <c r="N104" i="5"/>
  <c r="M104" i="5"/>
  <c r="N123" i="5"/>
  <c r="M123" i="5"/>
  <c r="M147" i="5"/>
  <c r="M163" i="5"/>
  <c r="M179" i="5"/>
  <c r="N102" i="5"/>
  <c r="M102" i="5"/>
  <c r="N106" i="5"/>
  <c r="M106" i="5"/>
  <c r="N127" i="5"/>
  <c r="M127" i="5"/>
  <c r="N108" i="5"/>
  <c r="M108" i="5"/>
  <c r="N131" i="5"/>
  <c r="M131" i="5"/>
  <c r="N114" i="5"/>
  <c r="M114" i="5"/>
  <c r="N122" i="5"/>
  <c r="M122" i="5"/>
  <c r="N130" i="5"/>
  <c r="M130" i="5"/>
  <c r="N138" i="5"/>
  <c r="M138" i="5"/>
  <c r="M146" i="5"/>
  <c r="N146" i="5"/>
  <c r="M154" i="5"/>
  <c r="N154" i="5"/>
  <c r="M162" i="5"/>
  <c r="N162" i="5"/>
  <c r="M170" i="5"/>
  <c r="N170" i="5"/>
  <c r="M178" i="5"/>
  <c r="N178" i="5"/>
  <c r="M186" i="5"/>
  <c r="N186" i="5"/>
  <c r="M194" i="5"/>
  <c r="N194" i="5"/>
  <c r="N112" i="5"/>
  <c r="M112" i="5"/>
  <c r="N120" i="5"/>
  <c r="M120" i="5"/>
  <c r="N128" i="5"/>
  <c r="M128" i="5"/>
  <c r="N136" i="5"/>
  <c r="M136" i="5"/>
  <c r="N144" i="5"/>
  <c r="M144" i="5"/>
  <c r="N152" i="5"/>
  <c r="M152" i="5"/>
  <c r="N160" i="5"/>
  <c r="M160" i="5"/>
  <c r="N168" i="5"/>
  <c r="M168" i="5"/>
  <c r="N176" i="5"/>
  <c r="M176" i="5"/>
  <c r="N184" i="5"/>
  <c r="M184" i="5"/>
  <c r="N192" i="5"/>
  <c r="M192" i="5"/>
  <c r="N110" i="5"/>
  <c r="M110" i="5"/>
  <c r="N118" i="5"/>
  <c r="M118" i="5"/>
  <c r="N126" i="5"/>
  <c r="M126" i="5"/>
  <c r="N134" i="5"/>
  <c r="M134" i="5"/>
  <c r="M142" i="5"/>
  <c r="N142" i="5"/>
  <c r="M150" i="5"/>
  <c r="N150" i="5"/>
  <c r="M158" i="5"/>
  <c r="N158" i="5"/>
  <c r="M166" i="5"/>
  <c r="N166" i="5"/>
  <c r="M174" i="5"/>
  <c r="N174" i="5"/>
  <c r="M182" i="5"/>
  <c r="N182" i="5"/>
  <c r="M190" i="5"/>
  <c r="N190" i="5"/>
  <c r="N116" i="5"/>
  <c r="M116" i="5"/>
  <c r="N124" i="5"/>
  <c r="M124" i="5"/>
  <c r="N132" i="5"/>
  <c r="M132" i="5"/>
  <c r="N140" i="5"/>
  <c r="M140" i="5"/>
  <c r="N148" i="5"/>
  <c r="M148" i="5"/>
  <c r="N156" i="5"/>
  <c r="M156" i="5"/>
  <c r="N164" i="5"/>
  <c r="M164" i="5"/>
  <c r="N172" i="5"/>
  <c r="M172" i="5"/>
  <c r="N180" i="5"/>
  <c r="M180" i="5"/>
  <c r="N188" i="5"/>
  <c r="M188" i="5"/>
  <c r="H10" i="1"/>
  <c r="I10" i="1" s="1"/>
  <c r="K10" i="1"/>
  <c r="J10" i="1"/>
  <c r="D10" i="1"/>
  <c r="L10" i="1" s="1"/>
  <c r="N10" i="1"/>
</calcChain>
</file>

<file path=xl/sharedStrings.xml><?xml version="1.0" encoding="utf-8"?>
<sst xmlns="http://schemas.openxmlformats.org/spreadsheetml/2006/main" count="39" uniqueCount="26">
  <si>
    <t>TSEG1</t>
  </si>
  <si>
    <t>TSEG2</t>
  </si>
  <si>
    <t>SJW</t>
  </si>
  <si>
    <t>BRP</t>
  </si>
  <si>
    <t>baud rate</t>
  </si>
  <si>
    <t>fclock</t>
  </si>
  <si>
    <t>DIV</t>
  </si>
  <si>
    <t>clock cycles/bit</t>
  </si>
  <si>
    <t>BRPcalc</t>
  </si>
  <si>
    <t>Baud Rate</t>
  </si>
  <si>
    <t>Error</t>
  </si>
  <si>
    <t>Sample Point</t>
  </si>
  <si>
    <t>54 01 XX XX</t>
  </si>
  <si>
    <t>Bit Time(ms)</t>
  </si>
  <si>
    <t>time quanta(us)</t>
  </si>
  <si>
    <t>Enter Desired Baud Rate in kbaud:</t>
  </si>
  <si>
    <t>SAINT2 Baud Rate Setting</t>
  </si>
  <si>
    <t>Valid?</t>
  </si>
  <si>
    <t>Tseg1 #tq</t>
  </si>
  <si>
    <t>Tseg2 #tq</t>
  </si>
  <si>
    <t>sjw  #tq</t>
  </si>
  <si>
    <t>Allowable TC1130 MultiCAN Register Values:</t>
  </si>
  <si>
    <t>Actual CAN Bus Properties:</t>
  </si>
  <si>
    <t>TC1130 MultiCAN Register Values:</t>
  </si>
  <si>
    <t>Enter the last 2 bytes in the 54 01 XX XX SAINT2 Configuration Message:</t>
  </si>
  <si>
    <t xml:space="preserve"> 8DAF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</si>
</sst>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000"/>
    <numFmt numFmtId="166" formatCode="0.0000%"/>
  </numFmts>
  <fonts count="5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b/>
      <sz val="11"/>
      <color rgb="FFFA7D00"/>
      <name val="Calibri"/>
      <family val="2"/>
      <scheme val="minor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2F2F2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3" fillId="3" borderId="16" applyNumberFormat="0" applyAlignment="0" applyProtection="0"/>
  </cellStyleXfs>
  <cellXfs count="68">
    <xf numFmtId="0" fontId="0" fillId="0" borderId="0" xfId="0"/>
    <xf numFmtId="2" fontId="0" fillId="0" borderId="0" xfId="0" applyNumberFormat="1"/>
    <xf numFmtId="164" fontId="0" fillId="0" borderId="0" xfId="0" applyNumberFormat="1" applyProtection="1"/>
    <xf numFmtId="0" fontId="0" fillId="0" borderId="0" xfId="0" applyProtection="1"/>
    <xf numFmtId="0" fontId="0" fillId="0" borderId="0" xfId="0" applyFill="1" applyBorder="1"/>
    <xf numFmtId="0" fontId="0" fillId="0" borderId="0" xfId="0" applyFill="1"/>
    <xf numFmtId="2" fontId="0" fillId="0" borderId="0" xfId="0" applyNumberFormat="1" applyFill="1"/>
    <xf numFmtId="165" fontId="0" fillId="0" borderId="0" xfId="0" applyNumberFormat="1" applyFill="1"/>
    <xf numFmtId="10" fontId="0" fillId="0" borderId="0" xfId="0" applyNumberFormat="1" applyFill="1"/>
    <xf numFmtId="166" fontId="0" fillId="0" borderId="0" xfId="0" applyNumberFormat="1" applyFill="1"/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0" fillId="0" borderId="10" xfId="0" applyFill="1" applyBorder="1"/>
    <xf numFmtId="0" fontId="0" fillId="0" borderId="11" xfId="0" applyFill="1" applyBorder="1"/>
    <xf numFmtId="2" fontId="0" fillId="0" borderId="1" xfId="0" applyNumberFormat="1" applyFill="1" applyBorder="1"/>
    <xf numFmtId="166" fontId="0" fillId="0" borderId="2" xfId="0" applyNumberFormat="1" applyFill="1" applyBorder="1"/>
    <xf numFmtId="165" fontId="0" fillId="0" borderId="2" xfId="0" applyNumberFormat="1" applyFill="1" applyBorder="1"/>
    <xf numFmtId="10" fontId="0" fillId="0" borderId="2" xfId="0" applyNumberFormat="1" applyFill="1" applyBorder="1"/>
    <xf numFmtId="166" fontId="0" fillId="0" borderId="0" xfId="0" applyNumberFormat="1" applyFill="1" applyBorder="1"/>
    <xf numFmtId="165" fontId="0" fillId="0" borderId="0" xfId="0" applyNumberFormat="1" applyFill="1" applyBorder="1"/>
    <xf numFmtId="10" fontId="0" fillId="0" borderId="0" xfId="0" applyNumberFormat="1" applyFill="1" applyBorder="1"/>
    <xf numFmtId="2" fontId="0" fillId="0" borderId="6" xfId="0" applyNumberFormat="1" applyFill="1" applyBorder="1"/>
    <xf numFmtId="166" fontId="0" fillId="0" borderId="7" xfId="0" applyNumberFormat="1" applyFill="1" applyBorder="1"/>
    <xf numFmtId="165" fontId="0" fillId="0" borderId="7" xfId="0" applyNumberFormat="1" applyFill="1" applyBorder="1"/>
    <xf numFmtId="10" fontId="0" fillId="0" borderId="7" xfId="0" applyNumberFormat="1" applyFill="1" applyBorder="1"/>
    <xf numFmtId="0" fontId="0" fillId="0" borderId="12" xfId="0" applyFill="1" applyBorder="1" applyAlignment="1">
      <alignment horizontal="right"/>
    </xf>
    <xf numFmtId="0" fontId="0" fillId="0" borderId="13" xfId="0" applyFill="1" applyBorder="1" applyAlignment="1">
      <alignment horizontal="right"/>
    </xf>
    <xf numFmtId="2" fontId="0" fillId="0" borderId="9" xfId="0" applyNumberFormat="1" applyFill="1" applyBorder="1"/>
    <xf numFmtId="166" fontId="0" fillId="0" borderId="10" xfId="0" applyNumberFormat="1" applyFill="1" applyBorder="1"/>
    <xf numFmtId="165" fontId="0" fillId="0" borderId="10" xfId="0" applyNumberFormat="1" applyFill="1" applyBorder="1"/>
    <xf numFmtId="10" fontId="0" fillId="0" borderId="10" xfId="0" applyNumberFormat="1" applyFill="1" applyBorder="1"/>
    <xf numFmtId="0" fontId="0" fillId="0" borderId="14" xfId="0" applyFill="1" applyBorder="1"/>
    <xf numFmtId="2" fontId="0" fillId="0" borderId="0" xfId="0" applyNumberFormat="1" applyFill="1" applyBorder="1"/>
    <xf numFmtId="2" fontId="0" fillId="0" borderId="7" xfId="0" applyNumberFormat="1" applyFill="1" applyBorder="1"/>
    <xf numFmtId="2" fontId="0" fillId="0" borderId="10" xfId="0" applyNumberFormat="1" applyFill="1" applyBorder="1"/>
    <xf numFmtId="0" fontId="0" fillId="0" borderId="15" xfId="0" applyFill="1" applyBorder="1" applyAlignment="1">
      <alignment horizontal="right"/>
    </xf>
    <xf numFmtId="0" fontId="2" fillId="2" borderId="14" xfId="0" applyFont="1" applyFill="1" applyBorder="1"/>
    <xf numFmtId="2" fontId="2" fillId="0" borderId="9" xfId="0" applyNumberFormat="1" applyFont="1" applyFill="1" applyBorder="1"/>
    <xf numFmtId="0" fontId="2" fillId="0" borderId="10" xfId="0" applyFont="1" applyFill="1" applyBorder="1"/>
    <xf numFmtId="1" fontId="0" fillId="0" borderId="6" xfId="0" applyNumberFormat="1" applyBorder="1"/>
    <xf numFmtId="1" fontId="0" fillId="0" borderId="7" xfId="0" applyNumberFormat="1" applyBorder="1"/>
    <xf numFmtId="1" fontId="0" fillId="0" borderId="8" xfId="0" applyNumberFormat="1" applyBorder="1"/>
    <xf numFmtId="1" fontId="0" fillId="0" borderId="7" xfId="0" applyNumberFormat="1" applyFill="1" applyBorder="1"/>
    <xf numFmtId="0" fontId="2" fillId="0" borderId="9" xfId="0" applyFont="1" applyBorder="1"/>
    <xf numFmtId="2" fontId="2" fillId="0" borderId="10" xfId="0" applyNumberFormat="1" applyFont="1" applyBorder="1"/>
    <xf numFmtId="0" fontId="2" fillId="0" borderId="10" xfId="0" applyFont="1" applyBorder="1"/>
    <xf numFmtId="0" fontId="0" fillId="0" borderId="11" xfId="0" applyBorder="1"/>
    <xf numFmtId="0" fontId="2" fillId="2" borderId="14" xfId="0" applyFont="1" applyFill="1" applyBorder="1" applyAlignment="1">
      <alignment horizontal="right"/>
    </xf>
    <xf numFmtId="0" fontId="0" fillId="0" borderId="9" xfId="0" applyBorder="1"/>
    <xf numFmtId="2" fontId="0" fillId="0" borderId="10" xfId="0" applyNumberFormat="1" applyBorder="1"/>
    <xf numFmtId="0" fontId="0" fillId="0" borderId="10" xfId="0" applyBorder="1"/>
    <xf numFmtId="2" fontId="3" fillId="3" borderId="16" xfId="1" applyNumberFormat="1"/>
    <xf numFmtId="2" fontId="4" fillId="0" borderId="0" xfId="0" applyNumberFormat="1" applyFont="1" applyFill="1" applyBorder="1"/>
    <xf numFmtId="166" fontId="4" fillId="0" borderId="0" xfId="0" applyNumberFormat="1" applyFont="1" applyFill="1" applyBorder="1"/>
    <xf numFmtId="165" fontId="4" fillId="0" borderId="0" xfId="0" applyNumberFormat="1" applyFont="1" applyFill="1" applyBorder="1"/>
    <xf numFmtId="10" fontId="4" fillId="0" borderId="0" xfId="0" applyNumberFormat="1" applyFont="1" applyFill="1" applyBorder="1"/>
    <xf numFmtId="0" fontId="4" fillId="0" borderId="0" xfId="0" applyFont="1" applyFill="1" applyBorder="1"/>
    <xf numFmtId="0" fontId="4" fillId="0" borderId="5" xfId="0" applyFont="1" applyFill="1" applyBorder="1"/>
    <xf numFmtId="0" fontId="4" fillId="0" borderId="12" xfId="0" applyFont="1" applyFill="1" applyBorder="1" applyAlignment="1">
      <alignment horizontal="right"/>
    </xf>
    <xf numFmtId="0" fontId="4" fillId="0" borderId="4" xfId="0" applyFont="1" applyFill="1" applyBorder="1"/>
    <xf numFmtId="0" fontId="4" fillId="0" borderId="0" xfId="0" applyFont="1" applyFill="1"/>
  </cellXfs>
  <cellStyles count="2">
    <cellStyle name="Calculation" xfId="1" builtinId="2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96"/>
  <sheetViews>
    <sheetView tabSelected="1" topLeftCell="C1" workbookViewId="0">
      <pane ySplit="6" topLeftCell="A148" activePane="bottomLeft" state="frozen"/>
      <selection activeCell="C1" sqref="C1"/>
      <selection pane="bottomLeft" activeCell="C7" sqref="A7:XFD7"/>
    </sheetView>
  </sheetViews>
  <sheetFormatPr defaultColWidth="9.7109375" defaultRowHeight="12.75" x14ac:dyDescent="0.2"/>
  <cols>
    <col min="1" max="2" width="9.7109375" style="5" hidden="1" customWidth="1"/>
    <col min="3" max="11" width="9.7109375" style="5" customWidth="1"/>
    <col min="12" max="12" width="11.140625" style="6" customWidth="1"/>
    <col min="13" max="13" width="11.28515625" style="9" customWidth="1"/>
    <col min="14" max="14" width="11.5703125" style="7" bestFit="1" customWidth="1"/>
    <col min="15" max="15" width="12.140625" style="8" bestFit="1" customWidth="1"/>
    <col min="16" max="17" width="9.140625" style="5" bestFit="1" customWidth="1"/>
    <col min="18" max="18" width="7.42578125" style="5" bestFit="1" customWidth="1"/>
    <col min="19" max="19" width="16.28515625" style="5" customWidth="1"/>
    <col min="20" max="20" width="23.42578125" style="5" bestFit="1" customWidth="1"/>
    <col min="21" max="21" width="9.7109375" customWidth="1"/>
    <col min="22" max="16384" width="9.7109375" style="5"/>
  </cols>
  <sheetData>
    <row r="1" spans="1:21" ht="13.5" thickBot="1" x14ac:dyDescent="0.25">
      <c r="B1" s="9"/>
      <c r="C1" s="9"/>
    </row>
    <row r="2" spans="1:21" ht="13.5" thickBot="1" x14ac:dyDescent="0.25">
      <c r="D2" s="44" t="s">
        <v>15</v>
      </c>
      <c r="E2" s="45"/>
      <c r="F2" s="45"/>
      <c r="G2" s="20"/>
      <c r="H2" s="43">
        <f>100/3</f>
        <v>33.333333333333336</v>
      </c>
    </row>
    <row r="4" spans="1:21" ht="13.5" thickBot="1" x14ac:dyDescent="0.25">
      <c r="A4" s="5">
        <v>75000000</v>
      </c>
      <c r="B4" s="5" t="s">
        <v>5</v>
      </c>
    </row>
    <row r="5" spans="1:21" ht="13.5" thickBot="1" x14ac:dyDescent="0.25">
      <c r="B5" s="5">
        <f>A4/H2/1000</f>
        <v>2250</v>
      </c>
      <c r="D5" s="18" t="s">
        <v>21</v>
      </c>
      <c r="E5" s="19"/>
      <c r="F5" s="19"/>
      <c r="G5" s="19"/>
      <c r="H5" s="19"/>
      <c r="I5" s="20"/>
      <c r="K5" s="34" t="s">
        <v>22</v>
      </c>
      <c r="L5" s="41"/>
      <c r="M5" s="35"/>
      <c r="N5" s="36"/>
      <c r="O5" s="37"/>
      <c r="P5" s="19"/>
      <c r="Q5" s="19"/>
      <c r="R5" s="19"/>
      <c r="S5" s="20"/>
      <c r="T5" s="38" t="s">
        <v>16</v>
      </c>
    </row>
    <row r="6" spans="1:21" ht="15" x14ac:dyDescent="0.25">
      <c r="A6" s="5" t="s">
        <v>4</v>
      </c>
      <c r="B6" s="5" t="s">
        <v>7</v>
      </c>
      <c r="D6" s="13" t="s">
        <v>6</v>
      </c>
      <c r="E6" s="4" t="s">
        <v>0</v>
      </c>
      <c r="F6" s="4" t="s">
        <v>1</v>
      </c>
      <c r="G6" s="4" t="s">
        <v>3</v>
      </c>
      <c r="H6" s="4" t="s">
        <v>8</v>
      </c>
      <c r="I6" s="14" t="s">
        <v>2</v>
      </c>
      <c r="K6" s="10" t="s">
        <v>17</v>
      </c>
      <c r="L6" s="58" t="s">
        <v>9</v>
      </c>
      <c r="M6" s="22" t="s">
        <v>10</v>
      </c>
      <c r="N6" s="23" t="s">
        <v>13</v>
      </c>
      <c r="O6" s="24" t="s">
        <v>11</v>
      </c>
      <c r="P6" s="11" t="s">
        <v>18</v>
      </c>
      <c r="Q6" s="11" t="s">
        <v>19</v>
      </c>
      <c r="R6" s="11" t="s">
        <v>20</v>
      </c>
      <c r="S6" s="12" t="s">
        <v>14</v>
      </c>
      <c r="T6" s="42" t="s">
        <v>12</v>
      </c>
      <c r="U6" s="5"/>
    </row>
    <row r="7" spans="1:21" x14ac:dyDescent="0.2">
      <c r="A7" s="5">
        <f t="shared" ref="A7:A38" si="0">$H$2*1000</f>
        <v>33333.333333333336</v>
      </c>
      <c r="B7" s="5">
        <f t="shared" ref="B7:B38" si="1">$B$5</f>
        <v>2250</v>
      </c>
      <c r="D7" s="13">
        <v>0</v>
      </c>
      <c r="E7" s="4">
        <v>2</v>
      </c>
      <c r="F7" s="4">
        <v>3</v>
      </c>
      <c r="G7" s="4">
        <f>ROUND(H7, 0)</f>
        <v>280</v>
      </c>
      <c r="H7" s="4">
        <f t="shared" ref="H7:H47" si="2">B7/((D7*7+1)*(F7+E7+3)) - 1</f>
        <v>280.25</v>
      </c>
      <c r="I7" s="14">
        <f t="shared" ref="I7:I38" si="3">IF(MIN(E7-1,F7)&lt;4, MIN(E7-1, F7), 3)</f>
        <v>1</v>
      </c>
      <c r="K7" s="13" t="str">
        <f>IF(G7&gt;63, "INVAL", IF(G7 = H7, "EXACT", ""))</f>
        <v>INVAL</v>
      </c>
      <c r="L7" s="39" t="str">
        <f>IF(K7&lt;&gt;"INVAL", 75000000/((D7*7+1)*(ROUND(H7,0)+1)*(3+E7+F7)), "")</f>
        <v/>
      </c>
      <c r="M7" s="25" t="str">
        <f>IF(K7&lt;&gt;"INVAL",ABS((L7-A7)/A7), "")</f>
        <v/>
      </c>
      <c r="N7" s="26" t="str">
        <f>IF(K7&lt;&gt;"INVAL",1000/L7, "")</f>
        <v/>
      </c>
      <c r="O7" s="27" t="str">
        <f>IF(K7&lt;&gt;"INVAL", (E7+2)/(E7+F7+3), "")</f>
        <v/>
      </c>
      <c r="P7" s="4" t="str">
        <f>IF(K7="INVAL","",E7+1)</f>
        <v/>
      </c>
      <c r="Q7" s="4" t="str">
        <f>IF(K7="INVAL","",F7+1)</f>
        <v/>
      </c>
      <c r="R7" s="4" t="str">
        <f>IF(K7="INVAL","",I7+1)</f>
        <v/>
      </c>
      <c r="S7" s="14" t="str">
        <f>IF(K7="INVAL","",(G7+1)*(D7*7+1)/75)</f>
        <v/>
      </c>
      <c r="T7" s="32" t="str">
        <f t="shared" ref="T7:T38" si="4">IF(K7&lt;&gt;"INVAL",DEC2HEX(E7+F7*POWER(2,4)+I7*(POWER(2,14))+G7*POWER(2,8)+D7*POWER(2,7)), "")</f>
        <v/>
      </c>
    </row>
    <row r="8" spans="1:21" x14ac:dyDescent="0.2">
      <c r="A8" s="5">
        <f t="shared" si="0"/>
        <v>33333.333333333336</v>
      </c>
      <c r="B8" s="5">
        <f t="shared" si="1"/>
        <v>2250</v>
      </c>
      <c r="D8" s="13">
        <v>0</v>
      </c>
      <c r="E8" s="4">
        <v>2</v>
      </c>
      <c r="F8" s="4">
        <v>4</v>
      </c>
      <c r="G8" s="4">
        <f t="shared" ref="G8:G71" si="5">ROUND(H8, 0)</f>
        <v>249</v>
      </c>
      <c r="H8" s="4">
        <f t="shared" si="2"/>
        <v>249</v>
      </c>
      <c r="I8" s="14">
        <f t="shared" si="3"/>
        <v>1</v>
      </c>
      <c r="K8" s="13" t="str">
        <f t="shared" ref="K8:K71" si="6">IF(G8&gt;63, "INVAL", IF(G8 = H8, "EXACT", ""))</f>
        <v>INVAL</v>
      </c>
      <c r="L8" s="39" t="str">
        <f t="shared" ref="L8:L71" si="7">IF(K8&lt;&gt;"INVAL", 75000000/((D8*7+1)*(ROUND(H8,0)+1)*(3+E8+F8)), "")</f>
        <v/>
      </c>
      <c r="M8" s="25" t="str">
        <f t="shared" ref="M8:M71" si="8">IF(K8&lt;&gt;"INVAL",ABS((L8-A8)/A8), "")</f>
        <v/>
      </c>
      <c r="N8" s="26" t="str">
        <f t="shared" ref="N8:N71" si="9">IF(K8&lt;&gt;"INVAL",1000/L8, "")</f>
        <v/>
      </c>
      <c r="O8" s="27" t="str">
        <f t="shared" ref="O8:O71" si="10">IF(K8&lt;&gt;"INVAL", (E8+2)/(E8+F8+3), "")</f>
        <v/>
      </c>
      <c r="P8" s="4" t="str">
        <f t="shared" ref="P8:P71" si="11">IF(K8="INVAL","",E8+1)</f>
        <v/>
      </c>
      <c r="Q8" s="4" t="str">
        <f t="shared" ref="Q8:Q71" si="12">IF(K8="INVAL","",F8+1)</f>
        <v/>
      </c>
      <c r="R8" s="4" t="str">
        <f t="shared" ref="R8:R71" si="13">IF(K8="INVAL","",I8+1)</f>
        <v/>
      </c>
      <c r="S8" s="14" t="str">
        <f t="shared" ref="S8:S71" si="14">IF(K8="INVAL","",(G8+1)*(D8*7+1)/75)</f>
        <v/>
      </c>
      <c r="T8" s="32" t="str">
        <f t="shared" si="4"/>
        <v/>
      </c>
    </row>
    <row r="9" spans="1:21" x14ac:dyDescent="0.2">
      <c r="A9" s="5">
        <f t="shared" si="0"/>
        <v>33333.333333333336</v>
      </c>
      <c r="B9" s="5">
        <f t="shared" si="1"/>
        <v>2250</v>
      </c>
      <c r="D9" s="13">
        <v>0</v>
      </c>
      <c r="E9" s="4">
        <v>2</v>
      </c>
      <c r="F9" s="4">
        <v>5</v>
      </c>
      <c r="G9" s="4">
        <f t="shared" si="5"/>
        <v>224</v>
      </c>
      <c r="H9" s="4">
        <f t="shared" si="2"/>
        <v>224</v>
      </c>
      <c r="I9" s="14">
        <f t="shared" si="3"/>
        <v>1</v>
      </c>
      <c r="K9" s="13" t="str">
        <f t="shared" si="6"/>
        <v>INVAL</v>
      </c>
      <c r="L9" s="39" t="str">
        <f t="shared" si="7"/>
        <v/>
      </c>
      <c r="M9" s="25" t="str">
        <f t="shared" si="8"/>
        <v/>
      </c>
      <c r="N9" s="26" t="str">
        <f t="shared" si="9"/>
        <v/>
      </c>
      <c r="O9" s="27" t="str">
        <f t="shared" si="10"/>
        <v/>
      </c>
      <c r="P9" s="4" t="str">
        <f t="shared" si="11"/>
        <v/>
      </c>
      <c r="Q9" s="4" t="str">
        <f t="shared" si="12"/>
        <v/>
      </c>
      <c r="R9" s="4" t="str">
        <f t="shared" si="13"/>
        <v/>
      </c>
      <c r="S9" s="14" t="str">
        <f t="shared" si="14"/>
        <v/>
      </c>
      <c r="T9" s="32" t="str">
        <f t="shared" si="4"/>
        <v/>
      </c>
    </row>
    <row r="10" spans="1:21" x14ac:dyDescent="0.2">
      <c r="A10" s="5">
        <f t="shared" si="0"/>
        <v>33333.333333333336</v>
      </c>
      <c r="B10" s="5">
        <f t="shared" si="1"/>
        <v>2250</v>
      </c>
      <c r="D10" s="13">
        <v>0</v>
      </c>
      <c r="E10" s="4">
        <v>2</v>
      </c>
      <c r="F10" s="4">
        <v>6</v>
      </c>
      <c r="G10" s="4">
        <f t="shared" si="5"/>
        <v>204</v>
      </c>
      <c r="H10" s="4">
        <f t="shared" si="2"/>
        <v>203.54545454545453</v>
      </c>
      <c r="I10" s="14">
        <f t="shared" si="3"/>
        <v>1</v>
      </c>
      <c r="K10" s="13" t="str">
        <f t="shared" si="6"/>
        <v>INVAL</v>
      </c>
      <c r="L10" s="39" t="str">
        <f t="shared" si="7"/>
        <v/>
      </c>
      <c r="M10" s="25" t="str">
        <f t="shared" si="8"/>
        <v/>
      </c>
      <c r="N10" s="26" t="str">
        <f t="shared" si="9"/>
        <v/>
      </c>
      <c r="O10" s="27" t="str">
        <f t="shared" si="10"/>
        <v/>
      </c>
      <c r="P10" s="4" t="str">
        <f t="shared" si="11"/>
        <v/>
      </c>
      <c r="Q10" s="4" t="str">
        <f t="shared" si="12"/>
        <v/>
      </c>
      <c r="R10" s="4" t="str">
        <f t="shared" si="13"/>
        <v/>
      </c>
      <c r="S10" s="14" t="str">
        <f t="shared" si="14"/>
        <v/>
      </c>
      <c r="T10" s="32" t="str">
        <f t="shared" si="4"/>
        <v/>
      </c>
    </row>
    <row r="11" spans="1:21" x14ac:dyDescent="0.2">
      <c r="A11" s="5">
        <f t="shared" si="0"/>
        <v>33333.333333333336</v>
      </c>
      <c r="B11" s="5">
        <f t="shared" si="1"/>
        <v>2250</v>
      </c>
      <c r="D11" s="13">
        <v>0</v>
      </c>
      <c r="E11" s="4">
        <v>2</v>
      </c>
      <c r="F11" s="4">
        <v>7</v>
      </c>
      <c r="G11" s="4">
        <f t="shared" si="5"/>
        <v>187</v>
      </c>
      <c r="H11" s="4">
        <f t="shared" si="2"/>
        <v>186.5</v>
      </c>
      <c r="I11" s="14">
        <f t="shared" si="3"/>
        <v>1</v>
      </c>
      <c r="K11" s="13" t="str">
        <f t="shared" si="6"/>
        <v>INVAL</v>
      </c>
      <c r="L11" s="39" t="str">
        <f t="shared" si="7"/>
        <v/>
      </c>
      <c r="M11" s="25" t="str">
        <f t="shared" si="8"/>
        <v/>
      </c>
      <c r="N11" s="26" t="str">
        <f t="shared" si="9"/>
        <v/>
      </c>
      <c r="O11" s="27" t="str">
        <f t="shared" si="10"/>
        <v/>
      </c>
      <c r="P11" s="4" t="str">
        <f t="shared" si="11"/>
        <v/>
      </c>
      <c r="Q11" s="4" t="str">
        <f t="shared" si="12"/>
        <v/>
      </c>
      <c r="R11" s="4" t="str">
        <f t="shared" si="13"/>
        <v/>
      </c>
      <c r="S11" s="14" t="str">
        <f t="shared" si="14"/>
        <v/>
      </c>
      <c r="T11" s="32" t="str">
        <f t="shared" si="4"/>
        <v/>
      </c>
    </row>
    <row r="12" spans="1:21" x14ac:dyDescent="0.2">
      <c r="A12" s="5">
        <f t="shared" si="0"/>
        <v>33333.333333333336</v>
      </c>
      <c r="B12" s="5">
        <f t="shared" si="1"/>
        <v>2250</v>
      </c>
      <c r="D12" s="13">
        <v>0</v>
      </c>
      <c r="E12" s="4">
        <v>3</v>
      </c>
      <c r="F12" s="4">
        <v>2</v>
      </c>
      <c r="G12" s="4">
        <f t="shared" si="5"/>
        <v>280</v>
      </c>
      <c r="H12" s="4">
        <f t="shared" si="2"/>
        <v>280.25</v>
      </c>
      <c r="I12" s="14">
        <f t="shared" si="3"/>
        <v>2</v>
      </c>
      <c r="K12" s="13" t="str">
        <f t="shared" si="6"/>
        <v>INVAL</v>
      </c>
      <c r="L12" s="39" t="str">
        <f t="shared" si="7"/>
        <v/>
      </c>
      <c r="M12" s="25" t="str">
        <f t="shared" si="8"/>
        <v/>
      </c>
      <c r="N12" s="26" t="str">
        <f t="shared" si="9"/>
        <v/>
      </c>
      <c r="O12" s="27" t="str">
        <f t="shared" si="10"/>
        <v/>
      </c>
      <c r="P12" s="4" t="str">
        <f t="shared" si="11"/>
        <v/>
      </c>
      <c r="Q12" s="4" t="str">
        <f t="shared" si="12"/>
        <v/>
      </c>
      <c r="R12" s="4" t="str">
        <f t="shared" si="13"/>
        <v/>
      </c>
      <c r="S12" s="14" t="str">
        <f t="shared" si="14"/>
        <v/>
      </c>
      <c r="T12" s="32" t="str">
        <f t="shared" si="4"/>
        <v/>
      </c>
    </row>
    <row r="13" spans="1:21" x14ac:dyDescent="0.2">
      <c r="A13" s="5">
        <f t="shared" si="0"/>
        <v>33333.333333333336</v>
      </c>
      <c r="B13" s="5">
        <f t="shared" si="1"/>
        <v>2250</v>
      </c>
      <c r="D13" s="13">
        <v>0</v>
      </c>
      <c r="E13" s="4">
        <v>3</v>
      </c>
      <c r="F13" s="4">
        <v>3</v>
      </c>
      <c r="G13" s="4">
        <f t="shared" si="5"/>
        <v>249</v>
      </c>
      <c r="H13" s="4">
        <f t="shared" si="2"/>
        <v>249</v>
      </c>
      <c r="I13" s="14">
        <f t="shared" si="3"/>
        <v>2</v>
      </c>
      <c r="K13" s="13" t="str">
        <f t="shared" si="6"/>
        <v>INVAL</v>
      </c>
      <c r="L13" s="39" t="str">
        <f t="shared" si="7"/>
        <v/>
      </c>
      <c r="M13" s="25" t="str">
        <f t="shared" si="8"/>
        <v/>
      </c>
      <c r="N13" s="26" t="str">
        <f t="shared" si="9"/>
        <v/>
      </c>
      <c r="O13" s="27" t="str">
        <f t="shared" si="10"/>
        <v/>
      </c>
      <c r="P13" s="4" t="str">
        <f t="shared" si="11"/>
        <v/>
      </c>
      <c r="Q13" s="4" t="str">
        <f t="shared" si="12"/>
        <v/>
      </c>
      <c r="R13" s="4" t="str">
        <f t="shared" si="13"/>
        <v/>
      </c>
      <c r="S13" s="14" t="str">
        <f t="shared" si="14"/>
        <v/>
      </c>
      <c r="T13" s="32" t="str">
        <f t="shared" si="4"/>
        <v/>
      </c>
    </row>
    <row r="14" spans="1:21" x14ac:dyDescent="0.2">
      <c r="A14" s="5">
        <f t="shared" si="0"/>
        <v>33333.333333333336</v>
      </c>
      <c r="B14" s="5">
        <f t="shared" si="1"/>
        <v>2250</v>
      </c>
      <c r="D14" s="13">
        <v>0</v>
      </c>
      <c r="E14" s="4">
        <v>3</v>
      </c>
      <c r="F14" s="4">
        <v>4</v>
      </c>
      <c r="G14" s="4">
        <f t="shared" si="5"/>
        <v>224</v>
      </c>
      <c r="H14" s="4">
        <f t="shared" si="2"/>
        <v>224</v>
      </c>
      <c r="I14" s="14">
        <f t="shared" si="3"/>
        <v>2</v>
      </c>
      <c r="K14" s="13" t="str">
        <f t="shared" si="6"/>
        <v>INVAL</v>
      </c>
      <c r="L14" s="39" t="str">
        <f t="shared" si="7"/>
        <v/>
      </c>
      <c r="M14" s="25" t="str">
        <f t="shared" si="8"/>
        <v/>
      </c>
      <c r="N14" s="26" t="str">
        <f t="shared" si="9"/>
        <v/>
      </c>
      <c r="O14" s="27" t="str">
        <f t="shared" si="10"/>
        <v/>
      </c>
      <c r="P14" s="4" t="str">
        <f t="shared" si="11"/>
        <v/>
      </c>
      <c r="Q14" s="4" t="str">
        <f t="shared" si="12"/>
        <v/>
      </c>
      <c r="R14" s="4" t="str">
        <f t="shared" si="13"/>
        <v/>
      </c>
      <c r="S14" s="14" t="str">
        <f t="shared" si="14"/>
        <v/>
      </c>
      <c r="T14" s="32" t="str">
        <f t="shared" si="4"/>
        <v/>
      </c>
    </row>
    <row r="15" spans="1:21" x14ac:dyDescent="0.2">
      <c r="A15" s="5">
        <f t="shared" si="0"/>
        <v>33333.333333333336</v>
      </c>
      <c r="B15" s="5">
        <f t="shared" si="1"/>
        <v>2250</v>
      </c>
      <c r="D15" s="13">
        <v>0</v>
      </c>
      <c r="E15" s="4">
        <v>3</v>
      </c>
      <c r="F15" s="4">
        <v>5</v>
      </c>
      <c r="G15" s="4">
        <f t="shared" si="5"/>
        <v>204</v>
      </c>
      <c r="H15" s="4">
        <f t="shared" si="2"/>
        <v>203.54545454545453</v>
      </c>
      <c r="I15" s="14">
        <f t="shared" si="3"/>
        <v>2</v>
      </c>
      <c r="K15" s="13" t="str">
        <f t="shared" si="6"/>
        <v>INVAL</v>
      </c>
      <c r="L15" s="39" t="str">
        <f t="shared" si="7"/>
        <v/>
      </c>
      <c r="M15" s="25" t="str">
        <f t="shared" si="8"/>
        <v/>
      </c>
      <c r="N15" s="26" t="str">
        <f t="shared" si="9"/>
        <v/>
      </c>
      <c r="O15" s="27" t="str">
        <f t="shared" si="10"/>
        <v/>
      </c>
      <c r="P15" s="4" t="str">
        <f t="shared" si="11"/>
        <v/>
      </c>
      <c r="Q15" s="4" t="str">
        <f t="shared" si="12"/>
        <v/>
      </c>
      <c r="R15" s="4" t="str">
        <f t="shared" si="13"/>
        <v/>
      </c>
      <c r="S15" s="14" t="str">
        <f t="shared" si="14"/>
        <v/>
      </c>
      <c r="T15" s="32" t="str">
        <f t="shared" si="4"/>
        <v/>
      </c>
    </row>
    <row r="16" spans="1:21" x14ac:dyDescent="0.2">
      <c r="A16" s="5">
        <f t="shared" si="0"/>
        <v>33333.333333333336</v>
      </c>
      <c r="B16" s="5">
        <f t="shared" si="1"/>
        <v>2250</v>
      </c>
      <c r="D16" s="13">
        <v>0</v>
      </c>
      <c r="E16" s="4">
        <v>3</v>
      </c>
      <c r="F16" s="4">
        <v>6</v>
      </c>
      <c r="G16" s="4">
        <f t="shared" si="5"/>
        <v>187</v>
      </c>
      <c r="H16" s="4">
        <f t="shared" si="2"/>
        <v>186.5</v>
      </c>
      <c r="I16" s="14">
        <f t="shared" si="3"/>
        <v>2</v>
      </c>
      <c r="K16" s="13" t="str">
        <f t="shared" si="6"/>
        <v>INVAL</v>
      </c>
      <c r="L16" s="39" t="str">
        <f t="shared" si="7"/>
        <v/>
      </c>
      <c r="M16" s="25" t="str">
        <f t="shared" si="8"/>
        <v/>
      </c>
      <c r="N16" s="26" t="str">
        <f t="shared" si="9"/>
        <v/>
      </c>
      <c r="O16" s="27" t="str">
        <f t="shared" si="10"/>
        <v/>
      </c>
      <c r="P16" s="4" t="str">
        <f t="shared" si="11"/>
        <v/>
      </c>
      <c r="Q16" s="4" t="str">
        <f t="shared" si="12"/>
        <v/>
      </c>
      <c r="R16" s="4" t="str">
        <f t="shared" si="13"/>
        <v/>
      </c>
      <c r="S16" s="14" t="str">
        <f t="shared" si="14"/>
        <v/>
      </c>
      <c r="T16" s="32" t="str">
        <f t="shared" si="4"/>
        <v/>
      </c>
    </row>
    <row r="17" spans="1:20" x14ac:dyDescent="0.2">
      <c r="A17" s="5">
        <f t="shared" si="0"/>
        <v>33333.333333333336</v>
      </c>
      <c r="B17" s="5">
        <f t="shared" si="1"/>
        <v>2250</v>
      </c>
      <c r="D17" s="13">
        <v>0</v>
      </c>
      <c r="E17" s="4">
        <v>3</v>
      </c>
      <c r="F17" s="4">
        <v>7</v>
      </c>
      <c r="G17" s="4">
        <f t="shared" si="5"/>
        <v>172</v>
      </c>
      <c r="H17" s="4">
        <f t="shared" si="2"/>
        <v>172.07692307692307</v>
      </c>
      <c r="I17" s="14">
        <f t="shared" si="3"/>
        <v>2</v>
      </c>
      <c r="K17" s="13" t="str">
        <f t="shared" si="6"/>
        <v>INVAL</v>
      </c>
      <c r="L17" s="39" t="str">
        <f t="shared" si="7"/>
        <v/>
      </c>
      <c r="M17" s="25" t="str">
        <f t="shared" si="8"/>
        <v/>
      </c>
      <c r="N17" s="26" t="str">
        <f t="shared" si="9"/>
        <v/>
      </c>
      <c r="O17" s="27" t="str">
        <f t="shared" si="10"/>
        <v/>
      </c>
      <c r="P17" s="4" t="str">
        <f t="shared" si="11"/>
        <v/>
      </c>
      <c r="Q17" s="4" t="str">
        <f t="shared" si="12"/>
        <v/>
      </c>
      <c r="R17" s="4" t="str">
        <f t="shared" si="13"/>
        <v/>
      </c>
      <c r="S17" s="14" t="str">
        <f t="shared" si="14"/>
        <v/>
      </c>
      <c r="T17" s="32" t="str">
        <f t="shared" si="4"/>
        <v/>
      </c>
    </row>
    <row r="18" spans="1:20" x14ac:dyDescent="0.2">
      <c r="A18" s="5">
        <f t="shared" si="0"/>
        <v>33333.333333333336</v>
      </c>
      <c r="B18" s="5">
        <f t="shared" si="1"/>
        <v>2250</v>
      </c>
      <c r="D18" s="13">
        <v>0</v>
      </c>
      <c r="E18" s="4">
        <v>4</v>
      </c>
      <c r="F18" s="4">
        <v>1</v>
      </c>
      <c r="G18" s="4">
        <f t="shared" si="5"/>
        <v>280</v>
      </c>
      <c r="H18" s="4">
        <f t="shared" si="2"/>
        <v>280.25</v>
      </c>
      <c r="I18" s="14">
        <f t="shared" si="3"/>
        <v>1</v>
      </c>
      <c r="K18" s="13" t="str">
        <f t="shared" si="6"/>
        <v>INVAL</v>
      </c>
      <c r="L18" s="39" t="str">
        <f t="shared" si="7"/>
        <v/>
      </c>
      <c r="M18" s="25" t="str">
        <f t="shared" si="8"/>
        <v/>
      </c>
      <c r="N18" s="26" t="str">
        <f t="shared" si="9"/>
        <v/>
      </c>
      <c r="O18" s="27" t="str">
        <f t="shared" si="10"/>
        <v/>
      </c>
      <c r="P18" s="4" t="str">
        <f t="shared" si="11"/>
        <v/>
      </c>
      <c r="Q18" s="4" t="str">
        <f t="shared" si="12"/>
        <v/>
      </c>
      <c r="R18" s="4" t="str">
        <f t="shared" si="13"/>
        <v/>
      </c>
      <c r="S18" s="14" t="str">
        <f t="shared" si="14"/>
        <v/>
      </c>
      <c r="T18" s="32" t="str">
        <f t="shared" si="4"/>
        <v/>
      </c>
    </row>
    <row r="19" spans="1:20" x14ac:dyDescent="0.2">
      <c r="A19" s="5">
        <f t="shared" si="0"/>
        <v>33333.333333333336</v>
      </c>
      <c r="B19" s="5">
        <f t="shared" si="1"/>
        <v>2250</v>
      </c>
      <c r="D19" s="13">
        <v>0</v>
      </c>
      <c r="E19" s="4">
        <v>4</v>
      </c>
      <c r="F19" s="4">
        <v>2</v>
      </c>
      <c r="G19" s="4">
        <f t="shared" si="5"/>
        <v>249</v>
      </c>
      <c r="H19" s="4">
        <f t="shared" si="2"/>
        <v>249</v>
      </c>
      <c r="I19" s="14">
        <f t="shared" si="3"/>
        <v>2</v>
      </c>
      <c r="K19" s="13" t="str">
        <f t="shared" si="6"/>
        <v>INVAL</v>
      </c>
      <c r="L19" s="39" t="str">
        <f t="shared" si="7"/>
        <v/>
      </c>
      <c r="M19" s="25" t="str">
        <f t="shared" si="8"/>
        <v/>
      </c>
      <c r="N19" s="26" t="str">
        <f t="shared" si="9"/>
        <v/>
      </c>
      <c r="O19" s="27" t="str">
        <f t="shared" si="10"/>
        <v/>
      </c>
      <c r="P19" s="4" t="str">
        <f t="shared" si="11"/>
        <v/>
      </c>
      <c r="Q19" s="4" t="str">
        <f t="shared" si="12"/>
        <v/>
      </c>
      <c r="R19" s="4" t="str">
        <f t="shared" si="13"/>
        <v/>
      </c>
      <c r="S19" s="14" t="str">
        <f t="shared" si="14"/>
        <v/>
      </c>
      <c r="T19" s="32" t="str">
        <f t="shared" si="4"/>
        <v/>
      </c>
    </row>
    <row r="20" spans="1:20" x14ac:dyDescent="0.2">
      <c r="A20" s="5">
        <f t="shared" si="0"/>
        <v>33333.333333333336</v>
      </c>
      <c r="B20" s="5">
        <f t="shared" si="1"/>
        <v>2250</v>
      </c>
      <c r="D20" s="13">
        <v>0</v>
      </c>
      <c r="E20" s="4">
        <v>4</v>
      </c>
      <c r="F20" s="4">
        <v>3</v>
      </c>
      <c r="G20" s="4">
        <f t="shared" si="5"/>
        <v>224</v>
      </c>
      <c r="H20" s="4">
        <f t="shared" si="2"/>
        <v>224</v>
      </c>
      <c r="I20" s="14">
        <f t="shared" si="3"/>
        <v>3</v>
      </c>
      <c r="K20" s="13" t="str">
        <f t="shared" si="6"/>
        <v>INVAL</v>
      </c>
      <c r="L20" s="39" t="str">
        <f t="shared" si="7"/>
        <v/>
      </c>
      <c r="M20" s="25" t="str">
        <f t="shared" si="8"/>
        <v/>
      </c>
      <c r="N20" s="26" t="str">
        <f t="shared" si="9"/>
        <v/>
      </c>
      <c r="O20" s="27" t="str">
        <f t="shared" si="10"/>
        <v/>
      </c>
      <c r="P20" s="4" t="str">
        <f t="shared" si="11"/>
        <v/>
      </c>
      <c r="Q20" s="4" t="str">
        <f t="shared" si="12"/>
        <v/>
      </c>
      <c r="R20" s="4" t="str">
        <f t="shared" si="13"/>
        <v/>
      </c>
      <c r="S20" s="14" t="str">
        <f t="shared" si="14"/>
        <v/>
      </c>
      <c r="T20" s="32" t="str">
        <f t="shared" si="4"/>
        <v/>
      </c>
    </row>
    <row r="21" spans="1:20" x14ac:dyDescent="0.2">
      <c r="A21" s="5">
        <f t="shared" si="0"/>
        <v>33333.333333333336</v>
      </c>
      <c r="B21" s="5">
        <f t="shared" si="1"/>
        <v>2250</v>
      </c>
      <c r="D21" s="13">
        <v>0</v>
      </c>
      <c r="E21" s="4">
        <v>4</v>
      </c>
      <c r="F21" s="4">
        <v>4</v>
      </c>
      <c r="G21" s="4">
        <f t="shared" si="5"/>
        <v>204</v>
      </c>
      <c r="H21" s="4">
        <f t="shared" si="2"/>
        <v>203.54545454545453</v>
      </c>
      <c r="I21" s="14">
        <f t="shared" si="3"/>
        <v>3</v>
      </c>
      <c r="K21" s="13" t="str">
        <f t="shared" si="6"/>
        <v>INVAL</v>
      </c>
      <c r="L21" s="39" t="str">
        <f t="shared" si="7"/>
        <v/>
      </c>
      <c r="M21" s="25" t="str">
        <f t="shared" si="8"/>
        <v/>
      </c>
      <c r="N21" s="26" t="str">
        <f t="shared" si="9"/>
        <v/>
      </c>
      <c r="O21" s="27" t="str">
        <f t="shared" si="10"/>
        <v/>
      </c>
      <c r="P21" s="4" t="str">
        <f t="shared" si="11"/>
        <v/>
      </c>
      <c r="Q21" s="4" t="str">
        <f t="shared" si="12"/>
        <v/>
      </c>
      <c r="R21" s="4" t="str">
        <f t="shared" si="13"/>
        <v/>
      </c>
      <c r="S21" s="14" t="str">
        <f t="shared" si="14"/>
        <v/>
      </c>
      <c r="T21" s="32" t="str">
        <f t="shared" si="4"/>
        <v/>
      </c>
    </row>
    <row r="22" spans="1:20" x14ac:dyDescent="0.2">
      <c r="A22" s="5">
        <f t="shared" si="0"/>
        <v>33333.333333333336</v>
      </c>
      <c r="B22" s="5">
        <f t="shared" si="1"/>
        <v>2250</v>
      </c>
      <c r="D22" s="13">
        <v>0</v>
      </c>
      <c r="E22" s="4">
        <v>4</v>
      </c>
      <c r="F22" s="4">
        <v>5</v>
      </c>
      <c r="G22" s="4">
        <f t="shared" si="5"/>
        <v>187</v>
      </c>
      <c r="H22" s="4">
        <f t="shared" si="2"/>
        <v>186.5</v>
      </c>
      <c r="I22" s="14">
        <f t="shared" si="3"/>
        <v>3</v>
      </c>
      <c r="K22" s="13" t="str">
        <f t="shared" si="6"/>
        <v>INVAL</v>
      </c>
      <c r="L22" s="39" t="str">
        <f t="shared" si="7"/>
        <v/>
      </c>
      <c r="M22" s="25" t="str">
        <f t="shared" si="8"/>
        <v/>
      </c>
      <c r="N22" s="26" t="str">
        <f t="shared" si="9"/>
        <v/>
      </c>
      <c r="O22" s="27" t="str">
        <f t="shared" si="10"/>
        <v/>
      </c>
      <c r="P22" s="4" t="str">
        <f t="shared" si="11"/>
        <v/>
      </c>
      <c r="Q22" s="4" t="str">
        <f t="shared" si="12"/>
        <v/>
      </c>
      <c r="R22" s="4" t="str">
        <f t="shared" si="13"/>
        <v/>
      </c>
      <c r="S22" s="14" t="str">
        <f t="shared" si="14"/>
        <v/>
      </c>
      <c r="T22" s="32" t="str">
        <f t="shared" si="4"/>
        <v/>
      </c>
    </row>
    <row r="23" spans="1:20" x14ac:dyDescent="0.2">
      <c r="A23" s="5">
        <f t="shared" si="0"/>
        <v>33333.333333333336</v>
      </c>
      <c r="B23" s="5">
        <f t="shared" si="1"/>
        <v>2250</v>
      </c>
      <c r="D23" s="13">
        <v>0</v>
      </c>
      <c r="E23" s="4">
        <v>4</v>
      </c>
      <c r="F23" s="4">
        <v>6</v>
      </c>
      <c r="G23" s="4">
        <f t="shared" si="5"/>
        <v>172</v>
      </c>
      <c r="H23" s="4">
        <f t="shared" si="2"/>
        <v>172.07692307692307</v>
      </c>
      <c r="I23" s="14">
        <f t="shared" si="3"/>
        <v>3</v>
      </c>
      <c r="K23" s="13" t="str">
        <f t="shared" si="6"/>
        <v>INVAL</v>
      </c>
      <c r="L23" s="39" t="str">
        <f t="shared" si="7"/>
        <v/>
      </c>
      <c r="M23" s="25" t="str">
        <f t="shared" si="8"/>
        <v/>
      </c>
      <c r="N23" s="26" t="str">
        <f t="shared" si="9"/>
        <v/>
      </c>
      <c r="O23" s="27" t="str">
        <f t="shared" si="10"/>
        <v/>
      </c>
      <c r="P23" s="4" t="str">
        <f t="shared" si="11"/>
        <v/>
      </c>
      <c r="Q23" s="4" t="str">
        <f t="shared" si="12"/>
        <v/>
      </c>
      <c r="R23" s="4" t="str">
        <f t="shared" si="13"/>
        <v/>
      </c>
      <c r="S23" s="14" t="str">
        <f t="shared" si="14"/>
        <v/>
      </c>
      <c r="T23" s="32" t="str">
        <f t="shared" si="4"/>
        <v/>
      </c>
    </row>
    <row r="24" spans="1:20" x14ac:dyDescent="0.2">
      <c r="A24" s="5">
        <f t="shared" si="0"/>
        <v>33333.333333333336</v>
      </c>
      <c r="B24" s="5">
        <f t="shared" si="1"/>
        <v>2250</v>
      </c>
      <c r="D24" s="13">
        <v>0</v>
      </c>
      <c r="E24" s="4">
        <v>4</v>
      </c>
      <c r="F24" s="4">
        <v>7</v>
      </c>
      <c r="G24" s="4">
        <f t="shared" si="5"/>
        <v>160</v>
      </c>
      <c r="H24" s="4">
        <f t="shared" si="2"/>
        <v>159.71428571428572</v>
      </c>
      <c r="I24" s="14">
        <f t="shared" si="3"/>
        <v>3</v>
      </c>
      <c r="K24" s="13" t="str">
        <f t="shared" si="6"/>
        <v>INVAL</v>
      </c>
      <c r="L24" s="39" t="str">
        <f t="shared" si="7"/>
        <v/>
      </c>
      <c r="M24" s="25" t="str">
        <f t="shared" si="8"/>
        <v/>
      </c>
      <c r="N24" s="26" t="str">
        <f t="shared" si="9"/>
        <v/>
      </c>
      <c r="O24" s="27" t="str">
        <f t="shared" si="10"/>
        <v/>
      </c>
      <c r="P24" s="4" t="str">
        <f t="shared" si="11"/>
        <v/>
      </c>
      <c r="Q24" s="4" t="str">
        <f t="shared" si="12"/>
        <v/>
      </c>
      <c r="R24" s="4" t="str">
        <f t="shared" si="13"/>
        <v/>
      </c>
      <c r="S24" s="14" t="str">
        <f t="shared" si="14"/>
        <v/>
      </c>
      <c r="T24" s="32" t="str">
        <f t="shared" si="4"/>
        <v/>
      </c>
    </row>
    <row r="25" spans="1:20" x14ac:dyDescent="0.2">
      <c r="A25" s="5">
        <f t="shared" si="0"/>
        <v>33333.333333333336</v>
      </c>
      <c r="B25" s="5">
        <f t="shared" si="1"/>
        <v>2250</v>
      </c>
      <c r="D25" s="13">
        <v>0</v>
      </c>
      <c r="E25" s="4">
        <v>5</v>
      </c>
      <c r="F25" s="4">
        <v>1</v>
      </c>
      <c r="G25" s="4">
        <f t="shared" si="5"/>
        <v>249</v>
      </c>
      <c r="H25" s="4">
        <f t="shared" si="2"/>
        <v>249</v>
      </c>
      <c r="I25" s="14">
        <f t="shared" si="3"/>
        <v>1</v>
      </c>
      <c r="K25" s="13" t="str">
        <f t="shared" si="6"/>
        <v>INVAL</v>
      </c>
      <c r="L25" s="39" t="str">
        <f t="shared" si="7"/>
        <v/>
      </c>
      <c r="M25" s="25" t="str">
        <f t="shared" si="8"/>
        <v/>
      </c>
      <c r="N25" s="26" t="str">
        <f t="shared" si="9"/>
        <v/>
      </c>
      <c r="O25" s="27" t="str">
        <f t="shared" si="10"/>
        <v/>
      </c>
      <c r="P25" s="4" t="str">
        <f t="shared" si="11"/>
        <v/>
      </c>
      <c r="Q25" s="4" t="str">
        <f t="shared" si="12"/>
        <v/>
      </c>
      <c r="R25" s="4" t="str">
        <f t="shared" si="13"/>
        <v/>
      </c>
      <c r="S25" s="14" t="str">
        <f t="shared" si="14"/>
        <v/>
      </c>
      <c r="T25" s="32" t="str">
        <f t="shared" si="4"/>
        <v/>
      </c>
    </row>
    <row r="26" spans="1:20" x14ac:dyDescent="0.2">
      <c r="A26" s="5">
        <f t="shared" si="0"/>
        <v>33333.333333333336</v>
      </c>
      <c r="B26" s="5">
        <f t="shared" si="1"/>
        <v>2250</v>
      </c>
      <c r="D26" s="13">
        <v>0</v>
      </c>
      <c r="E26" s="4">
        <v>5</v>
      </c>
      <c r="F26" s="4">
        <v>2</v>
      </c>
      <c r="G26" s="4">
        <f t="shared" si="5"/>
        <v>224</v>
      </c>
      <c r="H26" s="4">
        <f t="shared" si="2"/>
        <v>224</v>
      </c>
      <c r="I26" s="14">
        <f t="shared" si="3"/>
        <v>2</v>
      </c>
      <c r="K26" s="13" t="str">
        <f t="shared" si="6"/>
        <v>INVAL</v>
      </c>
      <c r="L26" s="39" t="str">
        <f t="shared" si="7"/>
        <v/>
      </c>
      <c r="M26" s="25" t="str">
        <f t="shared" si="8"/>
        <v/>
      </c>
      <c r="N26" s="26" t="str">
        <f t="shared" si="9"/>
        <v/>
      </c>
      <c r="O26" s="27" t="str">
        <f t="shared" si="10"/>
        <v/>
      </c>
      <c r="P26" s="4" t="str">
        <f t="shared" si="11"/>
        <v/>
      </c>
      <c r="Q26" s="4" t="str">
        <f t="shared" si="12"/>
        <v/>
      </c>
      <c r="R26" s="4" t="str">
        <f t="shared" si="13"/>
        <v/>
      </c>
      <c r="S26" s="14" t="str">
        <f t="shared" si="14"/>
        <v/>
      </c>
      <c r="T26" s="32" t="str">
        <f t="shared" si="4"/>
        <v/>
      </c>
    </row>
    <row r="27" spans="1:20" x14ac:dyDescent="0.2">
      <c r="A27" s="5">
        <f t="shared" si="0"/>
        <v>33333.333333333336</v>
      </c>
      <c r="B27" s="5">
        <f t="shared" si="1"/>
        <v>2250</v>
      </c>
      <c r="D27" s="13">
        <v>0</v>
      </c>
      <c r="E27" s="4">
        <v>5</v>
      </c>
      <c r="F27" s="4">
        <v>3</v>
      </c>
      <c r="G27" s="4">
        <f t="shared" si="5"/>
        <v>204</v>
      </c>
      <c r="H27" s="4">
        <f t="shared" si="2"/>
        <v>203.54545454545453</v>
      </c>
      <c r="I27" s="14">
        <f t="shared" si="3"/>
        <v>3</v>
      </c>
      <c r="K27" s="13" t="str">
        <f t="shared" si="6"/>
        <v>INVAL</v>
      </c>
      <c r="L27" s="39" t="str">
        <f t="shared" si="7"/>
        <v/>
      </c>
      <c r="M27" s="25" t="str">
        <f t="shared" si="8"/>
        <v/>
      </c>
      <c r="N27" s="26" t="str">
        <f t="shared" si="9"/>
        <v/>
      </c>
      <c r="O27" s="27" t="str">
        <f t="shared" si="10"/>
        <v/>
      </c>
      <c r="P27" s="4" t="str">
        <f t="shared" si="11"/>
        <v/>
      </c>
      <c r="Q27" s="4" t="str">
        <f t="shared" si="12"/>
        <v/>
      </c>
      <c r="R27" s="4" t="str">
        <f t="shared" si="13"/>
        <v/>
      </c>
      <c r="S27" s="14" t="str">
        <f t="shared" si="14"/>
        <v/>
      </c>
      <c r="T27" s="32" t="str">
        <f t="shared" si="4"/>
        <v/>
      </c>
    </row>
    <row r="28" spans="1:20" x14ac:dyDescent="0.2">
      <c r="A28" s="5">
        <f t="shared" si="0"/>
        <v>33333.333333333336</v>
      </c>
      <c r="B28" s="5">
        <f t="shared" si="1"/>
        <v>2250</v>
      </c>
      <c r="D28" s="13">
        <v>0</v>
      </c>
      <c r="E28" s="4">
        <v>5</v>
      </c>
      <c r="F28" s="4">
        <v>4</v>
      </c>
      <c r="G28" s="4">
        <f t="shared" si="5"/>
        <v>187</v>
      </c>
      <c r="H28" s="4">
        <f t="shared" si="2"/>
        <v>186.5</v>
      </c>
      <c r="I28" s="14">
        <f t="shared" si="3"/>
        <v>3</v>
      </c>
      <c r="K28" s="13" t="str">
        <f t="shared" si="6"/>
        <v>INVAL</v>
      </c>
      <c r="L28" s="39" t="str">
        <f t="shared" si="7"/>
        <v/>
      </c>
      <c r="M28" s="25" t="str">
        <f t="shared" si="8"/>
        <v/>
      </c>
      <c r="N28" s="26" t="str">
        <f t="shared" si="9"/>
        <v/>
      </c>
      <c r="O28" s="27" t="str">
        <f t="shared" si="10"/>
        <v/>
      </c>
      <c r="P28" s="4" t="str">
        <f t="shared" si="11"/>
        <v/>
      </c>
      <c r="Q28" s="4" t="str">
        <f t="shared" si="12"/>
        <v/>
      </c>
      <c r="R28" s="4" t="str">
        <f t="shared" si="13"/>
        <v/>
      </c>
      <c r="S28" s="14" t="str">
        <f t="shared" si="14"/>
        <v/>
      </c>
      <c r="T28" s="32" t="str">
        <f t="shared" si="4"/>
        <v/>
      </c>
    </row>
    <row r="29" spans="1:20" x14ac:dyDescent="0.2">
      <c r="A29" s="5">
        <f t="shared" si="0"/>
        <v>33333.333333333336</v>
      </c>
      <c r="B29" s="5">
        <f t="shared" si="1"/>
        <v>2250</v>
      </c>
      <c r="D29" s="13">
        <v>0</v>
      </c>
      <c r="E29" s="4">
        <v>5</v>
      </c>
      <c r="F29" s="4">
        <v>5</v>
      </c>
      <c r="G29" s="4">
        <f t="shared" si="5"/>
        <v>172</v>
      </c>
      <c r="H29" s="4">
        <f t="shared" si="2"/>
        <v>172.07692307692307</v>
      </c>
      <c r="I29" s="14">
        <f t="shared" si="3"/>
        <v>3</v>
      </c>
      <c r="K29" s="13" t="str">
        <f t="shared" si="6"/>
        <v>INVAL</v>
      </c>
      <c r="L29" s="39" t="str">
        <f t="shared" si="7"/>
        <v/>
      </c>
      <c r="M29" s="25" t="str">
        <f t="shared" si="8"/>
        <v/>
      </c>
      <c r="N29" s="26" t="str">
        <f t="shared" si="9"/>
        <v/>
      </c>
      <c r="O29" s="27" t="str">
        <f t="shared" si="10"/>
        <v/>
      </c>
      <c r="P29" s="4" t="str">
        <f t="shared" si="11"/>
        <v/>
      </c>
      <c r="Q29" s="4" t="str">
        <f t="shared" si="12"/>
        <v/>
      </c>
      <c r="R29" s="4" t="str">
        <f t="shared" si="13"/>
        <v/>
      </c>
      <c r="S29" s="14" t="str">
        <f t="shared" si="14"/>
        <v/>
      </c>
      <c r="T29" s="32" t="str">
        <f t="shared" si="4"/>
        <v/>
      </c>
    </row>
    <row r="30" spans="1:20" x14ac:dyDescent="0.2">
      <c r="A30" s="5">
        <f t="shared" si="0"/>
        <v>33333.333333333336</v>
      </c>
      <c r="B30" s="5">
        <f t="shared" si="1"/>
        <v>2250</v>
      </c>
      <c r="D30" s="13">
        <v>0</v>
      </c>
      <c r="E30" s="4">
        <v>5</v>
      </c>
      <c r="F30" s="4">
        <v>6</v>
      </c>
      <c r="G30" s="4">
        <f t="shared" si="5"/>
        <v>160</v>
      </c>
      <c r="H30" s="4">
        <f t="shared" si="2"/>
        <v>159.71428571428572</v>
      </c>
      <c r="I30" s="14">
        <f t="shared" si="3"/>
        <v>3</v>
      </c>
      <c r="K30" s="13" t="str">
        <f t="shared" si="6"/>
        <v>INVAL</v>
      </c>
      <c r="L30" s="39" t="str">
        <f t="shared" si="7"/>
        <v/>
      </c>
      <c r="M30" s="25" t="str">
        <f t="shared" si="8"/>
        <v/>
      </c>
      <c r="N30" s="26" t="str">
        <f t="shared" si="9"/>
        <v/>
      </c>
      <c r="O30" s="27" t="str">
        <f t="shared" si="10"/>
        <v/>
      </c>
      <c r="P30" s="4" t="str">
        <f t="shared" si="11"/>
        <v/>
      </c>
      <c r="Q30" s="4" t="str">
        <f t="shared" si="12"/>
        <v/>
      </c>
      <c r="R30" s="4" t="str">
        <f t="shared" si="13"/>
        <v/>
      </c>
      <c r="S30" s="14" t="str">
        <f t="shared" si="14"/>
        <v/>
      </c>
      <c r="T30" s="32" t="str">
        <f t="shared" si="4"/>
        <v/>
      </c>
    </row>
    <row r="31" spans="1:20" x14ac:dyDescent="0.2">
      <c r="A31" s="5">
        <f t="shared" si="0"/>
        <v>33333.333333333336</v>
      </c>
      <c r="B31" s="5">
        <f t="shared" si="1"/>
        <v>2250</v>
      </c>
      <c r="D31" s="13">
        <v>0</v>
      </c>
      <c r="E31" s="4">
        <v>5</v>
      </c>
      <c r="F31" s="4">
        <v>7</v>
      </c>
      <c r="G31" s="4">
        <f t="shared" si="5"/>
        <v>149</v>
      </c>
      <c r="H31" s="4">
        <f t="shared" si="2"/>
        <v>149</v>
      </c>
      <c r="I31" s="14">
        <f t="shared" si="3"/>
        <v>3</v>
      </c>
      <c r="K31" s="13" t="str">
        <f t="shared" si="6"/>
        <v>INVAL</v>
      </c>
      <c r="L31" s="39" t="str">
        <f t="shared" si="7"/>
        <v/>
      </c>
      <c r="M31" s="25" t="str">
        <f t="shared" si="8"/>
        <v/>
      </c>
      <c r="N31" s="26" t="str">
        <f t="shared" si="9"/>
        <v/>
      </c>
      <c r="O31" s="27" t="str">
        <f t="shared" si="10"/>
        <v/>
      </c>
      <c r="P31" s="4" t="str">
        <f t="shared" si="11"/>
        <v/>
      </c>
      <c r="Q31" s="4" t="str">
        <f t="shared" si="12"/>
        <v/>
      </c>
      <c r="R31" s="4" t="str">
        <f t="shared" si="13"/>
        <v/>
      </c>
      <c r="S31" s="14" t="str">
        <f t="shared" si="14"/>
        <v/>
      </c>
      <c r="T31" s="32" t="str">
        <f t="shared" si="4"/>
        <v/>
      </c>
    </row>
    <row r="32" spans="1:20" x14ac:dyDescent="0.2">
      <c r="A32" s="5">
        <f t="shared" si="0"/>
        <v>33333.333333333336</v>
      </c>
      <c r="B32" s="5">
        <f t="shared" si="1"/>
        <v>2250</v>
      </c>
      <c r="D32" s="13">
        <v>0</v>
      </c>
      <c r="E32" s="4">
        <v>6</v>
      </c>
      <c r="F32" s="4">
        <v>1</v>
      </c>
      <c r="G32" s="4">
        <f t="shared" si="5"/>
        <v>224</v>
      </c>
      <c r="H32" s="4">
        <f t="shared" si="2"/>
        <v>224</v>
      </c>
      <c r="I32" s="14">
        <f t="shared" si="3"/>
        <v>1</v>
      </c>
      <c r="K32" s="13" t="str">
        <f t="shared" si="6"/>
        <v>INVAL</v>
      </c>
      <c r="L32" s="39" t="str">
        <f t="shared" si="7"/>
        <v/>
      </c>
      <c r="M32" s="25" t="str">
        <f t="shared" si="8"/>
        <v/>
      </c>
      <c r="N32" s="26" t="str">
        <f t="shared" si="9"/>
        <v/>
      </c>
      <c r="O32" s="27" t="str">
        <f t="shared" si="10"/>
        <v/>
      </c>
      <c r="P32" s="4" t="str">
        <f t="shared" si="11"/>
        <v/>
      </c>
      <c r="Q32" s="4" t="str">
        <f t="shared" si="12"/>
        <v/>
      </c>
      <c r="R32" s="4" t="str">
        <f t="shared" si="13"/>
        <v/>
      </c>
      <c r="S32" s="14" t="str">
        <f t="shared" si="14"/>
        <v/>
      </c>
      <c r="T32" s="32" t="str">
        <f t="shared" si="4"/>
        <v/>
      </c>
    </row>
    <row r="33" spans="1:20" x14ac:dyDescent="0.2">
      <c r="A33" s="5">
        <f t="shared" si="0"/>
        <v>33333.333333333336</v>
      </c>
      <c r="B33" s="5">
        <f t="shared" si="1"/>
        <v>2250</v>
      </c>
      <c r="D33" s="13">
        <v>0</v>
      </c>
      <c r="E33" s="4">
        <v>6</v>
      </c>
      <c r="F33" s="4">
        <v>2</v>
      </c>
      <c r="G33" s="4">
        <f t="shared" si="5"/>
        <v>204</v>
      </c>
      <c r="H33" s="4">
        <f t="shared" si="2"/>
        <v>203.54545454545453</v>
      </c>
      <c r="I33" s="14">
        <f t="shared" si="3"/>
        <v>2</v>
      </c>
      <c r="K33" s="13" t="str">
        <f t="shared" si="6"/>
        <v>INVAL</v>
      </c>
      <c r="L33" s="39" t="str">
        <f t="shared" si="7"/>
        <v/>
      </c>
      <c r="M33" s="25" t="str">
        <f t="shared" si="8"/>
        <v/>
      </c>
      <c r="N33" s="26" t="str">
        <f t="shared" si="9"/>
        <v/>
      </c>
      <c r="O33" s="27" t="str">
        <f t="shared" si="10"/>
        <v/>
      </c>
      <c r="P33" s="4" t="str">
        <f t="shared" si="11"/>
        <v/>
      </c>
      <c r="Q33" s="4" t="str">
        <f t="shared" si="12"/>
        <v/>
      </c>
      <c r="R33" s="4" t="str">
        <f t="shared" si="13"/>
        <v/>
      </c>
      <c r="S33" s="14" t="str">
        <f t="shared" si="14"/>
        <v/>
      </c>
      <c r="T33" s="32" t="str">
        <f t="shared" si="4"/>
        <v/>
      </c>
    </row>
    <row r="34" spans="1:20" x14ac:dyDescent="0.2">
      <c r="A34" s="5">
        <f t="shared" si="0"/>
        <v>33333.333333333336</v>
      </c>
      <c r="B34" s="5">
        <f t="shared" si="1"/>
        <v>2250</v>
      </c>
      <c r="D34" s="13">
        <v>0</v>
      </c>
      <c r="E34" s="4">
        <v>6</v>
      </c>
      <c r="F34" s="4">
        <v>3</v>
      </c>
      <c r="G34" s="4">
        <f t="shared" si="5"/>
        <v>187</v>
      </c>
      <c r="H34" s="4">
        <f t="shared" si="2"/>
        <v>186.5</v>
      </c>
      <c r="I34" s="14">
        <f t="shared" si="3"/>
        <v>3</v>
      </c>
      <c r="K34" s="13" t="str">
        <f t="shared" si="6"/>
        <v>INVAL</v>
      </c>
      <c r="L34" s="39" t="str">
        <f t="shared" si="7"/>
        <v/>
      </c>
      <c r="M34" s="25" t="str">
        <f t="shared" si="8"/>
        <v/>
      </c>
      <c r="N34" s="26" t="str">
        <f t="shared" si="9"/>
        <v/>
      </c>
      <c r="O34" s="27" t="str">
        <f t="shared" si="10"/>
        <v/>
      </c>
      <c r="P34" s="4" t="str">
        <f t="shared" si="11"/>
        <v/>
      </c>
      <c r="Q34" s="4" t="str">
        <f t="shared" si="12"/>
        <v/>
      </c>
      <c r="R34" s="4" t="str">
        <f t="shared" si="13"/>
        <v/>
      </c>
      <c r="S34" s="14" t="str">
        <f t="shared" si="14"/>
        <v/>
      </c>
      <c r="T34" s="32" t="str">
        <f t="shared" si="4"/>
        <v/>
      </c>
    </row>
    <row r="35" spans="1:20" x14ac:dyDescent="0.2">
      <c r="A35" s="5">
        <f t="shared" si="0"/>
        <v>33333.333333333336</v>
      </c>
      <c r="B35" s="5">
        <f t="shared" si="1"/>
        <v>2250</v>
      </c>
      <c r="D35" s="13">
        <v>0</v>
      </c>
      <c r="E35" s="4">
        <v>6</v>
      </c>
      <c r="F35" s="4">
        <v>4</v>
      </c>
      <c r="G35" s="4">
        <f t="shared" si="5"/>
        <v>172</v>
      </c>
      <c r="H35" s="4">
        <f t="shared" si="2"/>
        <v>172.07692307692307</v>
      </c>
      <c r="I35" s="14">
        <f t="shared" si="3"/>
        <v>3</v>
      </c>
      <c r="K35" s="13" t="str">
        <f t="shared" si="6"/>
        <v>INVAL</v>
      </c>
      <c r="L35" s="39" t="str">
        <f t="shared" si="7"/>
        <v/>
      </c>
      <c r="M35" s="25" t="str">
        <f t="shared" si="8"/>
        <v/>
      </c>
      <c r="N35" s="26" t="str">
        <f t="shared" si="9"/>
        <v/>
      </c>
      <c r="O35" s="27" t="str">
        <f t="shared" si="10"/>
        <v/>
      </c>
      <c r="P35" s="4" t="str">
        <f t="shared" si="11"/>
        <v/>
      </c>
      <c r="Q35" s="4" t="str">
        <f t="shared" si="12"/>
        <v/>
      </c>
      <c r="R35" s="4" t="str">
        <f t="shared" si="13"/>
        <v/>
      </c>
      <c r="S35" s="14" t="str">
        <f t="shared" si="14"/>
        <v/>
      </c>
      <c r="T35" s="32" t="str">
        <f t="shared" si="4"/>
        <v/>
      </c>
    </row>
    <row r="36" spans="1:20" x14ac:dyDescent="0.2">
      <c r="A36" s="5">
        <f t="shared" si="0"/>
        <v>33333.333333333336</v>
      </c>
      <c r="B36" s="5">
        <f t="shared" si="1"/>
        <v>2250</v>
      </c>
      <c r="D36" s="13">
        <v>0</v>
      </c>
      <c r="E36" s="4">
        <v>6</v>
      </c>
      <c r="F36" s="4">
        <v>5</v>
      </c>
      <c r="G36" s="4">
        <f t="shared" si="5"/>
        <v>160</v>
      </c>
      <c r="H36" s="4">
        <f t="shared" si="2"/>
        <v>159.71428571428572</v>
      </c>
      <c r="I36" s="14">
        <f t="shared" si="3"/>
        <v>3</v>
      </c>
      <c r="K36" s="13" t="str">
        <f t="shared" si="6"/>
        <v>INVAL</v>
      </c>
      <c r="L36" s="39" t="str">
        <f t="shared" si="7"/>
        <v/>
      </c>
      <c r="M36" s="25" t="str">
        <f t="shared" si="8"/>
        <v/>
      </c>
      <c r="N36" s="26" t="str">
        <f t="shared" si="9"/>
        <v/>
      </c>
      <c r="O36" s="27" t="str">
        <f t="shared" si="10"/>
        <v/>
      </c>
      <c r="P36" s="4" t="str">
        <f t="shared" si="11"/>
        <v/>
      </c>
      <c r="Q36" s="4" t="str">
        <f t="shared" si="12"/>
        <v/>
      </c>
      <c r="R36" s="4" t="str">
        <f t="shared" si="13"/>
        <v/>
      </c>
      <c r="S36" s="14" t="str">
        <f t="shared" si="14"/>
        <v/>
      </c>
      <c r="T36" s="32" t="str">
        <f t="shared" si="4"/>
        <v/>
      </c>
    </row>
    <row r="37" spans="1:20" x14ac:dyDescent="0.2">
      <c r="A37" s="5">
        <f t="shared" si="0"/>
        <v>33333.333333333336</v>
      </c>
      <c r="B37" s="5">
        <f t="shared" si="1"/>
        <v>2250</v>
      </c>
      <c r="D37" s="13">
        <v>0</v>
      </c>
      <c r="E37" s="4">
        <v>6</v>
      </c>
      <c r="F37" s="4">
        <v>6</v>
      </c>
      <c r="G37" s="4">
        <f t="shared" si="5"/>
        <v>149</v>
      </c>
      <c r="H37" s="4">
        <f t="shared" si="2"/>
        <v>149</v>
      </c>
      <c r="I37" s="14">
        <f t="shared" si="3"/>
        <v>3</v>
      </c>
      <c r="K37" s="13" t="str">
        <f t="shared" si="6"/>
        <v>INVAL</v>
      </c>
      <c r="L37" s="39" t="str">
        <f t="shared" si="7"/>
        <v/>
      </c>
      <c r="M37" s="25" t="str">
        <f t="shared" si="8"/>
        <v/>
      </c>
      <c r="N37" s="26" t="str">
        <f t="shared" si="9"/>
        <v/>
      </c>
      <c r="O37" s="27" t="str">
        <f t="shared" si="10"/>
        <v/>
      </c>
      <c r="P37" s="4" t="str">
        <f t="shared" si="11"/>
        <v/>
      </c>
      <c r="Q37" s="4" t="str">
        <f t="shared" si="12"/>
        <v/>
      </c>
      <c r="R37" s="4" t="str">
        <f t="shared" si="13"/>
        <v/>
      </c>
      <c r="S37" s="14" t="str">
        <f t="shared" si="14"/>
        <v/>
      </c>
      <c r="T37" s="32" t="str">
        <f t="shared" si="4"/>
        <v/>
      </c>
    </row>
    <row r="38" spans="1:20" x14ac:dyDescent="0.2">
      <c r="A38" s="5">
        <f t="shared" si="0"/>
        <v>33333.333333333336</v>
      </c>
      <c r="B38" s="5">
        <f t="shared" si="1"/>
        <v>2250</v>
      </c>
      <c r="D38" s="13">
        <v>0</v>
      </c>
      <c r="E38" s="4">
        <v>6</v>
      </c>
      <c r="F38" s="4">
        <v>7</v>
      </c>
      <c r="G38" s="4">
        <f t="shared" si="5"/>
        <v>140</v>
      </c>
      <c r="H38" s="4">
        <f t="shared" si="2"/>
        <v>139.625</v>
      </c>
      <c r="I38" s="14">
        <f t="shared" si="3"/>
        <v>3</v>
      </c>
      <c r="K38" s="13" t="str">
        <f t="shared" si="6"/>
        <v>INVAL</v>
      </c>
      <c r="L38" s="39" t="str">
        <f t="shared" si="7"/>
        <v/>
      </c>
      <c r="M38" s="25" t="str">
        <f t="shared" si="8"/>
        <v/>
      </c>
      <c r="N38" s="26" t="str">
        <f t="shared" si="9"/>
        <v/>
      </c>
      <c r="O38" s="27" t="str">
        <f t="shared" si="10"/>
        <v/>
      </c>
      <c r="P38" s="4" t="str">
        <f t="shared" si="11"/>
        <v/>
      </c>
      <c r="Q38" s="4" t="str">
        <f t="shared" si="12"/>
        <v/>
      </c>
      <c r="R38" s="4" t="str">
        <f t="shared" si="13"/>
        <v/>
      </c>
      <c r="S38" s="14" t="str">
        <f t="shared" si="14"/>
        <v/>
      </c>
      <c r="T38" s="32" t="str">
        <f t="shared" si="4"/>
        <v/>
      </c>
    </row>
    <row r="39" spans="1:20" x14ac:dyDescent="0.2">
      <c r="A39" s="5">
        <f t="shared" ref="A39:A70" si="15">$H$2*1000</f>
        <v>33333.333333333336</v>
      </c>
      <c r="B39" s="5">
        <f t="shared" ref="B39:B70" si="16">$B$5</f>
        <v>2250</v>
      </c>
      <c r="D39" s="13">
        <v>0</v>
      </c>
      <c r="E39" s="4">
        <v>7</v>
      </c>
      <c r="F39" s="4">
        <v>1</v>
      </c>
      <c r="G39" s="4">
        <f t="shared" si="5"/>
        <v>204</v>
      </c>
      <c r="H39" s="4">
        <f t="shared" si="2"/>
        <v>203.54545454545453</v>
      </c>
      <c r="I39" s="14">
        <f t="shared" ref="I39:I70" si="17">IF(MIN(E39-1,F39)&lt;4, MIN(E39-1, F39), 3)</f>
        <v>1</v>
      </c>
      <c r="K39" s="13" t="str">
        <f t="shared" si="6"/>
        <v>INVAL</v>
      </c>
      <c r="L39" s="39" t="str">
        <f t="shared" si="7"/>
        <v/>
      </c>
      <c r="M39" s="25" t="str">
        <f t="shared" si="8"/>
        <v/>
      </c>
      <c r="N39" s="26" t="str">
        <f t="shared" si="9"/>
        <v/>
      </c>
      <c r="O39" s="27" t="str">
        <f t="shared" si="10"/>
        <v/>
      </c>
      <c r="P39" s="4" t="str">
        <f t="shared" si="11"/>
        <v/>
      </c>
      <c r="Q39" s="4" t="str">
        <f t="shared" si="12"/>
        <v/>
      </c>
      <c r="R39" s="4" t="str">
        <f t="shared" si="13"/>
        <v/>
      </c>
      <c r="S39" s="14" t="str">
        <f t="shared" si="14"/>
        <v/>
      </c>
      <c r="T39" s="32" t="str">
        <f t="shared" ref="T39:T70" si="18">IF(K39&lt;&gt;"INVAL",DEC2HEX(E39+F39*POWER(2,4)+I39*(POWER(2,14))+G39*POWER(2,8)+D39*POWER(2,7)), "")</f>
        <v/>
      </c>
    </row>
    <row r="40" spans="1:20" x14ac:dyDescent="0.2">
      <c r="A40" s="5">
        <f t="shared" si="15"/>
        <v>33333.333333333336</v>
      </c>
      <c r="B40" s="5">
        <f t="shared" si="16"/>
        <v>2250</v>
      </c>
      <c r="D40" s="13">
        <v>0</v>
      </c>
      <c r="E40" s="4">
        <v>7</v>
      </c>
      <c r="F40" s="4">
        <v>2</v>
      </c>
      <c r="G40" s="4">
        <f t="shared" si="5"/>
        <v>187</v>
      </c>
      <c r="H40" s="4">
        <f t="shared" si="2"/>
        <v>186.5</v>
      </c>
      <c r="I40" s="14">
        <f t="shared" si="17"/>
        <v>2</v>
      </c>
      <c r="K40" s="13" t="str">
        <f t="shared" si="6"/>
        <v>INVAL</v>
      </c>
      <c r="L40" s="39" t="str">
        <f t="shared" si="7"/>
        <v/>
      </c>
      <c r="M40" s="25" t="str">
        <f t="shared" si="8"/>
        <v/>
      </c>
      <c r="N40" s="26" t="str">
        <f t="shared" si="9"/>
        <v/>
      </c>
      <c r="O40" s="27" t="str">
        <f t="shared" si="10"/>
        <v/>
      </c>
      <c r="P40" s="4" t="str">
        <f t="shared" si="11"/>
        <v/>
      </c>
      <c r="Q40" s="4" t="str">
        <f t="shared" si="12"/>
        <v/>
      </c>
      <c r="R40" s="4" t="str">
        <f t="shared" si="13"/>
        <v/>
      </c>
      <c r="S40" s="14" t="str">
        <f t="shared" si="14"/>
        <v/>
      </c>
      <c r="T40" s="32" t="str">
        <f t="shared" si="18"/>
        <v/>
      </c>
    </row>
    <row r="41" spans="1:20" x14ac:dyDescent="0.2">
      <c r="A41" s="5">
        <f t="shared" si="15"/>
        <v>33333.333333333336</v>
      </c>
      <c r="B41" s="5">
        <f t="shared" si="16"/>
        <v>2250</v>
      </c>
      <c r="D41" s="13">
        <v>0</v>
      </c>
      <c r="E41" s="4">
        <v>7</v>
      </c>
      <c r="F41" s="4">
        <v>3</v>
      </c>
      <c r="G41" s="4">
        <f t="shared" si="5"/>
        <v>172</v>
      </c>
      <c r="H41" s="4">
        <f t="shared" si="2"/>
        <v>172.07692307692307</v>
      </c>
      <c r="I41" s="14">
        <f t="shared" si="17"/>
        <v>3</v>
      </c>
      <c r="K41" s="13" t="str">
        <f t="shared" si="6"/>
        <v>INVAL</v>
      </c>
      <c r="L41" s="39" t="str">
        <f t="shared" si="7"/>
        <v/>
      </c>
      <c r="M41" s="25" t="str">
        <f t="shared" si="8"/>
        <v/>
      </c>
      <c r="N41" s="26" t="str">
        <f t="shared" si="9"/>
        <v/>
      </c>
      <c r="O41" s="27" t="str">
        <f t="shared" si="10"/>
        <v/>
      </c>
      <c r="P41" s="4" t="str">
        <f t="shared" si="11"/>
        <v/>
      </c>
      <c r="Q41" s="4" t="str">
        <f t="shared" si="12"/>
        <v/>
      </c>
      <c r="R41" s="4" t="str">
        <f t="shared" si="13"/>
        <v/>
      </c>
      <c r="S41" s="14" t="str">
        <f t="shared" si="14"/>
        <v/>
      </c>
      <c r="T41" s="32" t="str">
        <f t="shared" si="18"/>
        <v/>
      </c>
    </row>
    <row r="42" spans="1:20" x14ac:dyDescent="0.2">
      <c r="A42" s="5">
        <f t="shared" si="15"/>
        <v>33333.333333333336</v>
      </c>
      <c r="B42" s="5">
        <f t="shared" si="16"/>
        <v>2250</v>
      </c>
      <c r="D42" s="13">
        <v>0</v>
      </c>
      <c r="E42" s="4">
        <v>7</v>
      </c>
      <c r="F42" s="4">
        <v>4</v>
      </c>
      <c r="G42" s="4">
        <f t="shared" si="5"/>
        <v>160</v>
      </c>
      <c r="H42" s="4">
        <f t="shared" si="2"/>
        <v>159.71428571428572</v>
      </c>
      <c r="I42" s="14">
        <f t="shared" si="17"/>
        <v>3</v>
      </c>
      <c r="K42" s="13" t="str">
        <f t="shared" si="6"/>
        <v>INVAL</v>
      </c>
      <c r="L42" s="39" t="str">
        <f t="shared" si="7"/>
        <v/>
      </c>
      <c r="M42" s="25" t="str">
        <f t="shared" si="8"/>
        <v/>
      </c>
      <c r="N42" s="26" t="str">
        <f t="shared" si="9"/>
        <v/>
      </c>
      <c r="O42" s="27" t="str">
        <f t="shared" si="10"/>
        <v/>
      </c>
      <c r="P42" s="4" t="str">
        <f t="shared" si="11"/>
        <v/>
      </c>
      <c r="Q42" s="4" t="str">
        <f t="shared" si="12"/>
        <v/>
      </c>
      <c r="R42" s="4" t="str">
        <f t="shared" si="13"/>
        <v/>
      </c>
      <c r="S42" s="14" t="str">
        <f t="shared" si="14"/>
        <v/>
      </c>
      <c r="T42" s="32" t="str">
        <f t="shared" si="18"/>
        <v/>
      </c>
    </row>
    <row r="43" spans="1:20" x14ac:dyDescent="0.2">
      <c r="A43" s="5">
        <f t="shared" si="15"/>
        <v>33333.333333333336</v>
      </c>
      <c r="B43" s="5">
        <f t="shared" si="16"/>
        <v>2250</v>
      </c>
      <c r="D43" s="13">
        <v>0</v>
      </c>
      <c r="E43" s="4">
        <v>7</v>
      </c>
      <c r="F43" s="4">
        <v>5</v>
      </c>
      <c r="G43" s="4">
        <f t="shared" si="5"/>
        <v>149</v>
      </c>
      <c r="H43" s="4">
        <f t="shared" si="2"/>
        <v>149</v>
      </c>
      <c r="I43" s="14">
        <f t="shared" si="17"/>
        <v>3</v>
      </c>
      <c r="K43" s="13" t="str">
        <f t="shared" si="6"/>
        <v>INVAL</v>
      </c>
      <c r="L43" s="39" t="str">
        <f t="shared" si="7"/>
        <v/>
      </c>
      <c r="M43" s="25" t="str">
        <f t="shared" si="8"/>
        <v/>
      </c>
      <c r="N43" s="26" t="str">
        <f t="shared" si="9"/>
        <v/>
      </c>
      <c r="O43" s="27" t="str">
        <f t="shared" si="10"/>
        <v/>
      </c>
      <c r="P43" s="4" t="str">
        <f t="shared" si="11"/>
        <v/>
      </c>
      <c r="Q43" s="4" t="str">
        <f t="shared" si="12"/>
        <v/>
      </c>
      <c r="R43" s="4" t="str">
        <f t="shared" si="13"/>
        <v/>
      </c>
      <c r="S43" s="14" t="str">
        <f t="shared" si="14"/>
        <v/>
      </c>
      <c r="T43" s="32" t="str">
        <f t="shared" si="18"/>
        <v/>
      </c>
    </row>
    <row r="44" spans="1:20" x14ac:dyDescent="0.2">
      <c r="A44" s="5">
        <f t="shared" si="15"/>
        <v>33333.333333333336</v>
      </c>
      <c r="B44" s="5">
        <f t="shared" si="16"/>
        <v>2250</v>
      </c>
      <c r="D44" s="13">
        <v>0</v>
      </c>
      <c r="E44" s="4">
        <v>7</v>
      </c>
      <c r="F44" s="4">
        <v>6</v>
      </c>
      <c r="G44" s="4">
        <f t="shared" si="5"/>
        <v>140</v>
      </c>
      <c r="H44" s="4">
        <f t="shared" si="2"/>
        <v>139.625</v>
      </c>
      <c r="I44" s="14">
        <f t="shared" si="17"/>
        <v>3</v>
      </c>
      <c r="K44" s="13" t="str">
        <f t="shared" si="6"/>
        <v>INVAL</v>
      </c>
      <c r="L44" s="39" t="str">
        <f t="shared" si="7"/>
        <v/>
      </c>
      <c r="M44" s="25" t="str">
        <f t="shared" si="8"/>
        <v/>
      </c>
      <c r="N44" s="26" t="str">
        <f t="shared" si="9"/>
        <v/>
      </c>
      <c r="O44" s="27" t="str">
        <f t="shared" si="10"/>
        <v/>
      </c>
      <c r="P44" s="4" t="str">
        <f t="shared" si="11"/>
        <v/>
      </c>
      <c r="Q44" s="4" t="str">
        <f t="shared" si="12"/>
        <v/>
      </c>
      <c r="R44" s="4" t="str">
        <f t="shared" si="13"/>
        <v/>
      </c>
      <c r="S44" s="14" t="str">
        <f t="shared" si="14"/>
        <v/>
      </c>
      <c r="T44" s="32" t="str">
        <f t="shared" si="18"/>
        <v/>
      </c>
    </row>
    <row r="45" spans="1:20" x14ac:dyDescent="0.2">
      <c r="A45" s="5">
        <f t="shared" si="15"/>
        <v>33333.333333333336</v>
      </c>
      <c r="B45" s="5">
        <f t="shared" si="16"/>
        <v>2250</v>
      </c>
      <c r="D45" s="13">
        <v>0</v>
      </c>
      <c r="E45" s="4">
        <v>7</v>
      </c>
      <c r="F45" s="4">
        <v>7</v>
      </c>
      <c r="G45" s="4">
        <f t="shared" si="5"/>
        <v>131</v>
      </c>
      <c r="H45" s="4">
        <f t="shared" si="2"/>
        <v>131.35294117647058</v>
      </c>
      <c r="I45" s="14">
        <f t="shared" si="17"/>
        <v>3</v>
      </c>
      <c r="K45" s="13" t="str">
        <f t="shared" si="6"/>
        <v>INVAL</v>
      </c>
      <c r="L45" s="39" t="str">
        <f t="shared" si="7"/>
        <v/>
      </c>
      <c r="M45" s="25" t="str">
        <f t="shared" si="8"/>
        <v/>
      </c>
      <c r="N45" s="26" t="str">
        <f t="shared" si="9"/>
        <v/>
      </c>
      <c r="O45" s="27" t="str">
        <f t="shared" si="10"/>
        <v/>
      </c>
      <c r="P45" s="4" t="str">
        <f t="shared" si="11"/>
        <v/>
      </c>
      <c r="Q45" s="4" t="str">
        <f t="shared" si="12"/>
        <v/>
      </c>
      <c r="R45" s="4" t="str">
        <f t="shared" si="13"/>
        <v/>
      </c>
      <c r="S45" s="14" t="str">
        <f t="shared" si="14"/>
        <v/>
      </c>
      <c r="T45" s="32" t="str">
        <f t="shared" si="18"/>
        <v/>
      </c>
    </row>
    <row r="46" spans="1:20" x14ac:dyDescent="0.2">
      <c r="A46" s="5">
        <f t="shared" si="15"/>
        <v>33333.333333333336</v>
      </c>
      <c r="B46" s="5">
        <f t="shared" si="16"/>
        <v>2250</v>
      </c>
      <c r="D46" s="13">
        <v>0</v>
      </c>
      <c r="E46" s="4">
        <v>8</v>
      </c>
      <c r="F46" s="4">
        <v>1</v>
      </c>
      <c r="G46" s="4">
        <f t="shared" si="5"/>
        <v>187</v>
      </c>
      <c r="H46" s="4">
        <f t="shared" si="2"/>
        <v>186.5</v>
      </c>
      <c r="I46" s="14">
        <f t="shared" si="17"/>
        <v>1</v>
      </c>
      <c r="K46" s="13" t="str">
        <f t="shared" si="6"/>
        <v>INVAL</v>
      </c>
      <c r="L46" s="39" t="str">
        <f t="shared" si="7"/>
        <v/>
      </c>
      <c r="M46" s="25" t="str">
        <f t="shared" si="8"/>
        <v/>
      </c>
      <c r="N46" s="26" t="str">
        <f t="shared" si="9"/>
        <v/>
      </c>
      <c r="O46" s="27" t="str">
        <f t="shared" si="10"/>
        <v/>
      </c>
      <c r="P46" s="4" t="str">
        <f t="shared" si="11"/>
        <v/>
      </c>
      <c r="Q46" s="4" t="str">
        <f t="shared" si="12"/>
        <v/>
      </c>
      <c r="R46" s="4" t="str">
        <f t="shared" si="13"/>
        <v/>
      </c>
      <c r="S46" s="14" t="str">
        <f t="shared" si="14"/>
        <v/>
      </c>
      <c r="T46" s="32" t="str">
        <f t="shared" si="18"/>
        <v/>
      </c>
    </row>
    <row r="47" spans="1:20" x14ac:dyDescent="0.2">
      <c r="A47" s="5">
        <f t="shared" si="15"/>
        <v>33333.333333333336</v>
      </c>
      <c r="B47" s="5">
        <f t="shared" si="16"/>
        <v>2250</v>
      </c>
      <c r="D47" s="13">
        <v>0</v>
      </c>
      <c r="E47" s="4">
        <v>8</v>
      </c>
      <c r="F47" s="4">
        <v>2</v>
      </c>
      <c r="G47" s="4">
        <f t="shared" si="5"/>
        <v>172</v>
      </c>
      <c r="H47" s="4">
        <f t="shared" si="2"/>
        <v>172.07692307692307</v>
      </c>
      <c r="I47" s="14">
        <f t="shared" si="17"/>
        <v>2</v>
      </c>
      <c r="K47" s="13" t="str">
        <f t="shared" si="6"/>
        <v>INVAL</v>
      </c>
      <c r="L47" s="39" t="str">
        <f t="shared" si="7"/>
        <v/>
      </c>
      <c r="M47" s="25" t="str">
        <f t="shared" si="8"/>
        <v/>
      </c>
      <c r="N47" s="26" t="str">
        <f t="shared" si="9"/>
        <v/>
      </c>
      <c r="O47" s="27" t="str">
        <f t="shared" si="10"/>
        <v/>
      </c>
      <c r="P47" s="4" t="str">
        <f t="shared" si="11"/>
        <v/>
      </c>
      <c r="Q47" s="4" t="str">
        <f t="shared" si="12"/>
        <v/>
      </c>
      <c r="R47" s="4" t="str">
        <f t="shared" si="13"/>
        <v/>
      </c>
      <c r="S47" s="14" t="str">
        <f t="shared" si="14"/>
        <v/>
      </c>
      <c r="T47" s="32" t="str">
        <f t="shared" si="18"/>
        <v/>
      </c>
    </row>
    <row r="48" spans="1:20" x14ac:dyDescent="0.2">
      <c r="A48" s="5">
        <f t="shared" si="15"/>
        <v>33333.333333333336</v>
      </c>
      <c r="B48" s="5">
        <f t="shared" si="16"/>
        <v>2250</v>
      </c>
      <c r="D48" s="13">
        <v>0</v>
      </c>
      <c r="E48" s="4">
        <v>8</v>
      </c>
      <c r="F48" s="4">
        <v>3</v>
      </c>
      <c r="G48" s="4">
        <f t="shared" si="5"/>
        <v>160</v>
      </c>
      <c r="H48" s="4">
        <f t="shared" ref="H48:H91" si="19">B48/((D48*7+1)*(F48+E48+3)) - 1</f>
        <v>159.71428571428572</v>
      </c>
      <c r="I48" s="14">
        <f t="shared" si="17"/>
        <v>3</v>
      </c>
      <c r="K48" s="13" t="str">
        <f t="shared" si="6"/>
        <v>INVAL</v>
      </c>
      <c r="L48" s="39" t="str">
        <f t="shared" si="7"/>
        <v/>
      </c>
      <c r="M48" s="25" t="str">
        <f t="shared" si="8"/>
        <v/>
      </c>
      <c r="N48" s="26" t="str">
        <f t="shared" si="9"/>
        <v/>
      </c>
      <c r="O48" s="27" t="str">
        <f t="shared" si="10"/>
        <v/>
      </c>
      <c r="P48" s="4" t="str">
        <f t="shared" si="11"/>
        <v/>
      </c>
      <c r="Q48" s="4" t="str">
        <f t="shared" si="12"/>
        <v/>
      </c>
      <c r="R48" s="4" t="str">
        <f t="shared" si="13"/>
        <v/>
      </c>
      <c r="S48" s="14" t="str">
        <f t="shared" si="14"/>
        <v/>
      </c>
      <c r="T48" s="32" t="str">
        <f t="shared" si="18"/>
        <v/>
      </c>
    </row>
    <row r="49" spans="1:20" x14ac:dyDescent="0.2">
      <c r="A49" s="5">
        <f t="shared" si="15"/>
        <v>33333.333333333336</v>
      </c>
      <c r="B49" s="5">
        <f t="shared" si="16"/>
        <v>2250</v>
      </c>
      <c r="D49" s="13">
        <v>0</v>
      </c>
      <c r="E49" s="4">
        <v>8</v>
      </c>
      <c r="F49" s="4">
        <v>4</v>
      </c>
      <c r="G49" s="4">
        <f t="shared" si="5"/>
        <v>149</v>
      </c>
      <c r="H49" s="4">
        <f t="shared" si="19"/>
        <v>149</v>
      </c>
      <c r="I49" s="14">
        <f t="shared" si="17"/>
        <v>3</v>
      </c>
      <c r="K49" s="13" t="str">
        <f t="shared" si="6"/>
        <v>INVAL</v>
      </c>
      <c r="L49" s="39" t="str">
        <f t="shared" si="7"/>
        <v/>
      </c>
      <c r="M49" s="25" t="str">
        <f t="shared" si="8"/>
        <v/>
      </c>
      <c r="N49" s="26" t="str">
        <f t="shared" si="9"/>
        <v/>
      </c>
      <c r="O49" s="27" t="str">
        <f t="shared" si="10"/>
        <v/>
      </c>
      <c r="P49" s="4" t="str">
        <f t="shared" si="11"/>
        <v/>
      </c>
      <c r="Q49" s="4" t="str">
        <f t="shared" si="12"/>
        <v/>
      </c>
      <c r="R49" s="4" t="str">
        <f t="shared" si="13"/>
        <v/>
      </c>
      <c r="S49" s="14" t="str">
        <f t="shared" si="14"/>
        <v/>
      </c>
      <c r="T49" s="32" t="str">
        <f t="shared" si="18"/>
        <v/>
      </c>
    </row>
    <row r="50" spans="1:20" x14ac:dyDescent="0.2">
      <c r="A50" s="5">
        <f t="shared" si="15"/>
        <v>33333.333333333336</v>
      </c>
      <c r="B50" s="5">
        <f t="shared" si="16"/>
        <v>2250</v>
      </c>
      <c r="D50" s="13">
        <v>0</v>
      </c>
      <c r="E50" s="4">
        <v>8</v>
      </c>
      <c r="F50" s="4">
        <v>5</v>
      </c>
      <c r="G50" s="4">
        <f t="shared" si="5"/>
        <v>140</v>
      </c>
      <c r="H50" s="4">
        <f t="shared" si="19"/>
        <v>139.625</v>
      </c>
      <c r="I50" s="14">
        <f t="shared" si="17"/>
        <v>3</v>
      </c>
      <c r="K50" s="13" t="str">
        <f t="shared" si="6"/>
        <v>INVAL</v>
      </c>
      <c r="L50" s="39" t="str">
        <f t="shared" si="7"/>
        <v/>
      </c>
      <c r="M50" s="25" t="str">
        <f t="shared" si="8"/>
        <v/>
      </c>
      <c r="N50" s="26" t="str">
        <f t="shared" si="9"/>
        <v/>
      </c>
      <c r="O50" s="27" t="str">
        <f t="shared" si="10"/>
        <v/>
      </c>
      <c r="P50" s="4" t="str">
        <f t="shared" si="11"/>
        <v/>
      </c>
      <c r="Q50" s="4" t="str">
        <f t="shared" si="12"/>
        <v/>
      </c>
      <c r="R50" s="4" t="str">
        <f t="shared" si="13"/>
        <v/>
      </c>
      <c r="S50" s="14" t="str">
        <f t="shared" si="14"/>
        <v/>
      </c>
      <c r="T50" s="32" t="str">
        <f t="shared" si="18"/>
        <v/>
      </c>
    </row>
    <row r="51" spans="1:20" x14ac:dyDescent="0.2">
      <c r="A51" s="5">
        <f t="shared" si="15"/>
        <v>33333.333333333336</v>
      </c>
      <c r="B51" s="5">
        <f t="shared" si="16"/>
        <v>2250</v>
      </c>
      <c r="D51" s="13">
        <v>0</v>
      </c>
      <c r="E51" s="4">
        <v>8</v>
      </c>
      <c r="F51" s="4">
        <v>6</v>
      </c>
      <c r="G51" s="4">
        <f t="shared" si="5"/>
        <v>131</v>
      </c>
      <c r="H51" s="4">
        <f t="shared" si="19"/>
        <v>131.35294117647058</v>
      </c>
      <c r="I51" s="14">
        <f t="shared" si="17"/>
        <v>3</v>
      </c>
      <c r="K51" s="13" t="str">
        <f t="shared" si="6"/>
        <v>INVAL</v>
      </c>
      <c r="L51" s="39" t="str">
        <f t="shared" si="7"/>
        <v/>
      </c>
      <c r="M51" s="25" t="str">
        <f t="shared" si="8"/>
        <v/>
      </c>
      <c r="N51" s="26" t="str">
        <f t="shared" si="9"/>
        <v/>
      </c>
      <c r="O51" s="27" t="str">
        <f t="shared" si="10"/>
        <v/>
      </c>
      <c r="P51" s="4" t="str">
        <f t="shared" si="11"/>
        <v/>
      </c>
      <c r="Q51" s="4" t="str">
        <f t="shared" si="12"/>
        <v/>
      </c>
      <c r="R51" s="4" t="str">
        <f t="shared" si="13"/>
        <v/>
      </c>
      <c r="S51" s="14" t="str">
        <f t="shared" si="14"/>
        <v/>
      </c>
      <c r="T51" s="32" t="str">
        <f t="shared" si="18"/>
        <v/>
      </c>
    </row>
    <row r="52" spans="1:20" x14ac:dyDescent="0.2">
      <c r="A52" s="5">
        <f t="shared" si="15"/>
        <v>33333.333333333336</v>
      </c>
      <c r="B52" s="5">
        <f t="shared" si="16"/>
        <v>2250</v>
      </c>
      <c r="D52" s="13">
        <v>0</v>
      </c>
      <c r="E52" s="4">
        <v>8</v>
      </c>
      <c r="F52" s="4">
        <v>7</v>
      </c>
      <c r="G52" s="4">
        <f t="shared" si="5"/>
        <v>124</v>
      </c>
      <c r="H52" s="4">
        <f t="shared" si="19"/>
        <v>124</v>
      </c>
      <c r="I52" s="14">
        <f t="shared" si="17"/>
        <v>3</v>
      </c>
      <c r="K52" s="13" t="str">
        <f t="shared" si="6"/>
        <v>INVAL</v>
      </c>
      <c r="L52" s="39" t="str">
        <f t="shared" si="7"/>
        <v/>
      </c>
      <c r="M52" s="25" t="str">
        <f t="shared" si="8"/>
        <v/>
      </c>
      <c r="N52" s="26" t="str">
        <f t="shared" si="9"/>
        <v/>
      </c>
      <c r="O52" s="27" t="str">
        <f t="shared" si="10"/>
        <v/>
      </c>
      <c r="P52" s="4" t="str">
        <f t="shared" si="11"/>
        <v/>
      </c>
      <c r="Q52" s="4" t="str">
        <f t="shared" si="12"/>
        <v/>
      </c>
      <c r="R52" s="4" t="str">
        <f t="shared" si="13"/>
        <v/>
      </c>
      <c r="S52" s="14" t="str">
        <f t="shared" si="14"/>
        <v/>
      </c>
      <c r="T52" s="32" t="str">
        <f t="shared" si="18"/>
        <v/>
      </c>
    </row>
    <row r="53" spans="1:20" x14ac:dyDescent="0.2">
      <c r="A53" s="5">
        <f t="shared" si="15"/>
        <v>33333.333333333336</v>
      </c>
      <c r="B53" s="5">
        <f t="shared" si="16"/>
        <v>2250</v>
      </c>
      <c r="D53" s="13">
        <v>0</v>
      </c>
      <c r="E53" s="4">
        <v>9</v>
      </c>
      <c r="F53" s="4">
        <v>1</v>
      </c>
      <c r="G53" s="4">
        <f t="shared" si="5"/>
        <v>172</v>
      </c>
      <c r="H53" s="4">
        <f t="shared" si="19"/>
        <v>172.07692307692307</v>
      </c>
      <c r="I53" s="14">
        <f t="shared" si="17"/>
        <v>1</v>
      </c>
      <c r="K53" s="13" t="str">
        <f t="shared" si="6"/>
        <v>INVAL</v>
      </c>
      <c r="L53" s="39" t="str">
        <f t="shared" si="7"/>
        <v/>
      </c>
      <c r="M53" s="25" t="str">
        <f t="shared" si="8"/>
        <v/>
      </c>
      <c r="N53" s="26" t="str">
        <f t="shared" si="9"/>
        <v/>
      </c>
      <c r="O53" s="27" t="str">
        <f t="shared" si="10"/>
        <v/>
      </c>
      <c r="P53" s="4" t="str">
        <f t="shared" si="11"/>
        <v/>
      </c>
      <c r="Q53" s="4" t="str">
        <f t="shared" si="12"/>
        <v/>
      </c>
      <c r="R53" s="4" t="str">
        <f t="shared" si="13"/>
        <v/>
      </c>
      <c r="S53" s="14" t="str">
        <f t="shared" si="14"/>
        <v/>
      </c>
      <c r="T53" s="32" t="str">
        <f t="shared" si="18"/>
        <v/>
      </c>
    </row>
    <row r="54" spans="1:20" x14ac:dyDescent="0.2">
      <c r="A54" s="5">
        <f t="shared" si="15"/>
        <v>33333.333333333336</v>
      </c>
      <c r="B54" s="5">
        <f t="shared" si="16"/>
        <v>2250</v>
      </c>
      <c r="D54" s="13">
        <v>0</v>
      </c>
      <c r="E54" s="4">
        <v>9</v>
      </c>
      <c r="F54" s="4">
        <v>2</v>
      </c>
      <c r="G54" s="4">
        <f t="shared" si="5"/>
        <v>160</v>
      </c>
      <c r="H54" s="4">
        <f t="shared" si="19"/>
        <v>159.71428571428572</v>
      </c>
      <c r="I54" s="14">
        <f t="shared" si="17"/>
        <v>2</v>
      </c>
      <c r="K54" s="13" t="str">
        <f t="shared" si="6"/>
        <v>INVAL</v>
      </c>
      <c r="L54" s="39" t="str">
        <f t="shared" si="7"/>
        <v/>
      </c>
      <c r="M54" s="25" t="str">
        <f t="shared" si="8"/>
        <v/>
      </c>
      <c r="N54" s="26" t="str">
        <f t="shared" si="9"/>
        <v/>
      </c>
      <c r="O54" s="27" t="str">
        <f t="shared" si="10"/>
        <v/>
      </c>
      <c r="P54" s="4" t="str">
        <f t="shared" si="11"/>
        <v/>
      </c>
      <c r="Q54" s="4" t="str">
        <f t="shared" si="12"/>
        <v/>
      </c>
      <c r="R54" s="4" t="str">
        <f t="shared" si="13"/>
        <v/>
      </c>
      <c r="S54" s="14" t="str">
        <f t="shared" si="14"/>
        <v/>
      </c>
      <c r="T54" s="32" t="str">
        <f t="shared" si="18"/>
        <v/>
      </c>
    </row>
    <row r="55" spans="1:20" x14ac:dyDescent="0.2">
      <c r="A55" s="5">
        <f t="shared" si="15"/>
        <v>33333.333333333336</v>
      </c>
      <c r="B55" s="5">
        <f t="shared" si="16"/>
        <v>2250</v>
      </c>
      <c r="D55" s="13">
        <v>0</v>
      </c>
      <c r="E55" s="4">
        <v>9</v>
      </c>
      <c r="F55" s="4">
        <v>3</v>
      </c>
      <c r="G55" s="4">
        <f t="shared" si="5"/>
        <v>149</v>
      </c>
      <c r="H55" s="4">
        <f t="shared" si="19"/>
        <v>149</v>
      </c>
      <c r="I55" s="14">
        <f t="shared" si="17"/>
        <v>3</v>
      </c>
      <c r="K55" s="13" t="str">
        <f t="shared" si="6"/>
        <v>INVAL</v>
      </c>
      <c r="L55" s="39" t="str">
        <f t="shared" si="7"/>
        <v/>
      </c>
      <c r="M55" s="25" t="str">
        <f t="shared" si="8"/>
        <v/>
      </c>
      <c r="N55" s="26" t="str">
        <f t="shared" si="9"/>
        <v/>
      </c>
      <c r="O55" s="27" t="str">
        <f t="shared" si="10"/>
        <v/>
      </c>
      <c r="P55" s="4" t="str">
        <f t="shared" si="11"/>
        <v/>
      </c>
      <c r="Q55" s="4" t="str">
        <f t="shared" si="12"/>
        <v/>
      </c>
      <c r="R55" s="4" t="str">
        <f t="shared" si="13"/>
        <v/>
      </c>
      <c r="S55" s="14" t="str">
        <f t="shared" si="14"/>
        <v/>
      </c>
      <c r="T55" s="32" t="str">
        <f t="shared" si="18"/>
        <v/>
      </c>
    </row>
    <row r="56" spans="1:20" x14ac:dyDescent="0.2">
      <c r="A56" s="5">
        <f t="shared" si="15"/>
        <v>33333.333333333336</v>
      </c>
      <c r="B56" s="5">
        <f t="shared" si="16"/>
        <v>2250</v>
      </c>
      <c r="D56" s="13">
        <v>0</v>
      </c>
      <c r="E56" s="4">
        <v>9</v>
      </c>
      <c r="F56" s="4">
        <v>4</v>
      </c>
      <c r="G56" s="4">
        <f t="shared" si="5"/>
        <v>140</v>
      </c>
      <c r="H56" s="4">
        <f t="shared" si="19"/>
        <v>139.625</v>
      </c>
      <c r="I56" s="14">
        <f t="shared" si="17"/>
        <v>3</v>
      </c>
      <c r="K56" s="13" t="str">
        <f t="shared" si="6"/>
        <v>INVAL</v>
      </c>
      <c r="L56" s="39" t="str">
        <f t="shared" si="7"/>
        <v/>
      </c>
      <c r="M56" s="25" t="str">
        <f t="shared" si="8"/>
        <v/>
      </c>
      <c r="N56" s="26" t="str">
        <f t="shared" si="9"/>
        <v/>
      </c>
      <c r="O56" s="27" t="str">
        <f t="shared" si="10"/>
        <v/>
      </c>
      <c r="P56" s="4" t="str">
        <f t="shared" si="11"/>
        <v/>
      </c>
      <c r="Q56" s="4" t="str">
        <f t="shared" si="12"/>
        <v/>
      </c>
      <c r="R56" s="4" t="str">
        <f t="shared" si="13"/>
        <v/>
      </c>
      <c r="S56" s="14" t="str">
        <f t="shared" si="14"/>
        <v/>
      </c>
      <c r="T56" s="32" t="str">
        <f t="shared" si="18"/>
        <v/>
      </c>
    </row>
    <row r="57" spans="1:20" x14ac:dyDescent="0.2">
      <c r="A57" s="5">
        <f t="shared" si="15"/>
        <v>33333.333333333336</v>
      </c>
      <c r="B57" s="5">
        <f t="shared" si="16"/>
        <v>2250</v>
      </c>
      <c r="D57" s="13">
        <v>0</v>
      </c>
      <c r="E57" s="4">
        <v>9</v>
      </c>
      <c r="F57" s="4">
        <v>5</v>
      </c>
      <c r="G57" s="4">
        <f t="shared" si="5"/>
        <v>131</v>
      </c>
      <c r="H57" s="4">
        <f t="shared" si="19"/>
        <v>131.35294117647058</v>
      </c>
      <c r="I57" s="14">
        <f t="shared" si="17"/>
        <v>3</v>
      </c>
      <c r="K57" s="13" t="str">
        <f t="shared" si="6"/>
        <v>INVAL</v>
      </c>
      <c r="L57" s="39" t="str">
        <f t="shared" si="7"/>
        <v/>
      </c>
      <c r="M57" s="25" t="str">
        <f t="shared" si="8"/>
        <v/>
      </c>
      <c r="N57" s="26" t="str">
        <f t="shared" si="9"/>
        <v/>
      </c>
      <c r="O57" s="27" t="str">
        <f t="shared" si="10"/>
        <v/>
      </c>
      <c r="P57" s="4" t="str">
        <f t="shared" si="11"/>
        <v/>
      </c>
      <c r="Q57" s="4" t="str">
        <f t="shared" si="12"/>
        <v/>
      </c>
      <c r="R57" s="4" t="str">
        <f t="shared" si="13"/>
        <v/>
      </c>
      <c r="S57" s="14" t="str">
        <f t="shared" si="14"/>
        <v/>
      </c>
      <c r="T57" s="32" t="str">
        <f t="shared" si="18"/>
        <v/>
      </c>
    </row>
    <row r="58" spans="1:20" x14ac:dyDescent="0.2">
      <c r="A58" s="5">
        <f t="shared" si="15"/>
        <v>33333.333333333336</v>
      </c>
      <c r="B58" s="5">
        <f t="shared" si="16"/>
        <v>2250</v>
      </c>
      <c r="D58" s="13">
        <v>0</v>
      </c>
      <c r="E58" s="4">
        <v>9</v>
      </c>
      <c r="F58" s="4">
        <v>6</v>
      </c>
      <c r="G58" s="4">
        <f t="shared" si="5"/>
        <v>124</v>
      </c>
      <c r="H58" s="4">
        <f>B58/((D58*7+1)*(F58+E58+3)) - 1</f>
        <v>124</v>
      </c>
      <c r="I58" s="14">
        <f t="shared" si="17"/>
        <v>3</v>
      </c>
      <c r="K58" s="13" t="str">
        <f t="shared" si="6"/>
        <v>INVAL</v>
      </c>
      <c r="L58" s="39" t="str">
        <f t="shared" si="7"/>
        <v/>
      </c>
      <c r="M58" s="25" t="str">
        <f t="shared" si="8"/>
        <v/>
      </c>
      <c r="N58" s="26" t="str">
        <f t="shared" si="9"/>
        <v/>
      </c>
      <c r="O58" s="27" t="str">
        <f t="shared" si="10"/>
        <v/>
      </c>
      <c r="P58" s="4" t="str">
        <f t="shared" si="11"/>
        <v/>
      </c>
      <c r="Q58" s="4" t="str">
        <f t="shared" si="12"/>
        <v/>
      </c>
      <c r="R58" s="4" t="str">
        <f t="shared" si="13"/>
        <v/>
      </c>
      <c r="S58" s="14" t="str">
        <f t="shared" si="14"/>
        <v/>
      </c>
      <c r="T58" s="32" t="str">
        <f t="shared" si="18"/>
        <v/>
      </c>
    </row>
    <row r="59" spans="1:20" x14ac:dyDescent="0.2">
      <c r="A59" s="5">
        <f t="shared" si="15"/>
        <v>33333.333333333336</v>
      </c>
      <c r="B59" s="5">
        <f t="shared" si="16"/>
        <v>2250</v>
      </c>
      <c r="D59" s="13">
        <v>0</v>
      </c>
      <c r="E59" s="4">
        <v>9</v>
      </c>
      <c r="F59" s="4">
        <v>7</v>
      </c>
      <c r="G59" s="4">
        <f t="shared" si="5"/>
        <v>117</v>
      </c>
      <c r="H59" s="4">
        <f>B59/((D59*7+1)*(F59+E59+3)) - 1</f>
        <v>117.42105263157895</v>
      </c>
      <c r="I59" s="14">
        <f t="shared" si="17"/>
        <v>3</v>
      </c>
      <c r="K59" s="13" t="str">
        <f t="shared" si="6"/>
        <v>INVAL</v>
      </c>
      <c r="L59" s="39" t="str">
        <f t="shared" si="7"/>
        <v/>
      </c>
      <c r="M59" s="25" t="str">
        <f t="shared" si="8"/>
        <v/>
      </c>
      <c r="N59" s="26" t="str">
        <f t="shared" si="9"/>
        <v/>
      </c>
      <c r="O59" s="27" t="str">
        <f t="shared" si="10"/>
        <v/>
      </c>
      <c r="P59" s="4" t="str">
        <f t="shared" si="11"/>
        <v/>
      </c>
      <c r="Q59" s="4" t="str">
        <f t="shared" si="12"/>
        <v/>
      </c>
      <c r="R59" s="4" t="str">
        <f t="shared" si="13"/>
        <v/>
      </c>
      <c r="S59" s="14" t="str">
        <f t="shared" si="14"/>
        <v/>
      </c>
      <c r="T59" s="32" t="str">
        <f t="shared" si="18"/>
        <v/>
      </c>
    </row>
    <row r="60" spans="1:20" x14ac:dyDescent="0.2">
      <c r="A60" s="5">
        <f t="shared" si="15"/>
        <v>33333.333333333336</v>
      </c>
      <c r="B60" s="5">
        <f t="shared" si="16"/>
        <v>2250</v>
      </c>
      <c r="D60" s="13">
        <v>0</v>
      </c>
      <c r="E60" s="4">
        <v>10</v>
      </c>
      <c r="F60" s="4">
        <v>1</v>
      </c>
      <c r="G60" s="4">
        <f t="shared" si="5"/>
        <v>160</v>
      </c>
      <c r="H60" s="4">
        <f t="shared" si="19"/>
        <v>159.71428571428572</v>
      </c>
      <c r="I60" s="14">
        <f t="shared" si="17"/>
        <v>1</v>
      </c>
      <c r="K60" s="13" t="str">
        <f t="shared" si="6"/>
        <v>INVAL</v>
      </c>
      <c r="L60" s="39" t="str">
        <f t="shared" si="7"/>
        <v/>
      </c>
      <c r="M60" s="25" t="str">
        <f t="shared" si="8"/>
        <v/>
      </c>
      <c r="N60" s="26" t="str">
        <f t="shared" si="9"/>
        <v/>
      </c>
      <c r="O60" s="27" t="str">
        <f t="shared" si="10"/>
        <v/>
      </c>
      <c r="P60" s="4" t="str">
        <f t="shared" si="11"/>
        <v/>
      </c>
      <c r="Q60" s="4" t="str">
        <f t="shared" si="12"/>
        <v/>
      </c>
      <c r="R60" s="4" t="str">
        <f t="shared" si="13"/>
        <v/>
      </c>
      <c r="S60" s="14" t="str">
        <f t="shared" si="14"/>
        <v/>
      </c>
      <c r="T60" s="32" t="str">
        <f t="shared" si="18"/>
        <v/>
      </c>
    </row>
    <row r="61" spans="1:20" x14ac:dyDescent="0.2">
      <c r="A61" s="5">
        <f t="shared" si="15"/>
        <v>33333.333333333336</v>
      </c>
      <c r="B61" s="5">
        <f t="shared" si="16"/>
        <v>2250</v>
      </c>
      <c r="D61" s="13">
        <v>0</v>
      </c>
      <c r="E61" s="4">
        <v>10</v>
      </c>
      <c r="F61" s="4">
        <v>2</v>
      </c>
      <c r="G61" s="4">
        <f t="shared" si="5"/>
        <v>149</v>
      </c>
      <c r="H61" s="4">
        <f t="shared" si="19"/>
        <v>149</v>
      </c>
      <c r="I61" s="14">
        <f t="shared" si="17"/>
        <v>2</v>
      </c>
      <c r="K61" s="13" t="str">
        <f t="shared" si="6"/>
        <v>INVAL</v>
      </c>
      <c r="L61" s="39" t="str">
        <f t="shared" si="7"/>
        <v/>
      </c>
      <c r="M61" s="25" t="str">
        <f t="shared" si="8"/>
        <v/>
      </c>
      <c r="N61" s="26" t="str">
        <f t="shared" si="9"/>
        <v/>
      </c>
      <c r="O61" s="27" t="str">
        <f t="shared" si="10"/>
        <v/>
      </c>
      <c r="P61" s="4" t="str">
        <f t="shared" si="11"/>
        <v/>
      </c>
      <c r="Q61" s="4" t="str">
        <f t="shared" si="12"/>
        <v/>
      </c>
      <c r="R61" s="4" t="str">
        <f t="shared" si="13"/>
        <v/>
      </c>
      <c r="S61" s="14" t="str">
        <f t="shared" si="14"/>
        <v/>
      </c>
      <c r="T61" s="32" t="str">
        <f t="shared" si="18"/>
        <v/>
      </c>
    </row>
    <row r="62" spans="1:20" x14ac:dyDescent="0.2">
      <c r="A62" s="5">
        <f t="shared" si="15"/>
        <v>33333.333333333336</v>
      </c>
      <c r="B62" s="5">
        <f t="shared" si="16"/>
        <v>2250</v>
      </c>
      <c r="D62" s="13">
        <v>0</v>
      </c>
      <c r="E62" s="4">
        <v>10</v>
      </c>
      <c r="F62" s="4">
        <v>3</v>
      </c>
      <c r="G62" s="4">
        <f t="shared" si="5"/>
        <v>140</v>
      </c>
      <c r="H62" s="4">
        <f t="shared" si="19"/>
        <v>139.625</v>
      </c>
      <c r="I62" s="14">
        <f t="shared" si="17"/>
        <v>3</v>
      </c>
      <c r="K62" s="13" t="str">
        <f t="shared" si="6"/>
        <v>INVAL</v>
      </c>
      <c r="L62" s="39" t="str">
        <f t="shared" si="7"/>
        <v/>
      </c>
      <c r="M62" s="25" t="str">
        <f t="shared" si="8"/>
        <v/>
      </c>
      <c r="N62" s="26" t="str">
        <f t="shared" si="9"/>
        <v/>
      </c>
      <c r="O62" s="27" t="str">
        <f t="shared" si="10"/>
        <v/>
      </c>
      <c r="P62" s="4" t="str">
        <f t="shared" si="11"/>
        <v/>
      </c>
      <c r="Q62" s="4" t="str">
        <f t="shared" si="12"/>
        <v/>
      </c>
      <c r="R62" s="4" t="str">
        <f t="shared" si="13"/>
        <v/>
      </c>
      <c r="S62" s="14" t="str">
        <f t="shared" si="14"/>
        <v/>
      </c>
      <c r="T62" s="32" t="str">
        <f t="shared" si="18"/>
        <v/>
      </c>
    </row>
    <row r="63" spans="1:20" x14ac:dyDescent="0.2">
      <c r="A63" s="5">
        <f t="shared" si="15"/>
        <v>33333.333333333336</v>
      </c>
      <c r="B63" s="5">
        <f t="shared" si="16"/>
        <v>2250</v>
      </c>
      <c r="D63" s="13">
        <v>0</v>
      </c>
      <c r="E63" s="4">
        <v>10</v>
      </c>
      <c r="F63" s="4">
        <v>4</v>
      </c>
      <c r="G63" s="4">
        <f t="shared" si="5"/>
        <v>131</v>
      </c>
      <c r="H63" s="4">
        <f t="shared" si="19"/>
        <v>131.35294117647058</v>
      </c>
      <c r="I63" s="14">
        <f t="shared" si="17"/>
        <v>3</v>
      </c>
      <c r="K63" s="13" t="str">
        <f t="shared" si="6"/>
        <v>INVAL</v>
      </c>
      <c r="L63" s="39" t="str">
        <f t="shared" si="7"/>
        <v/>
      </c>
      <c r="M63" s="25" t="str">
        <f t="shared" si="8"/>
        <v/>
      </c>
      <c r="N63" s="26" t="str">
        <f t="shared" si="9"/>
        <v/>
      </c>
      <c r="O63" s="27" t="str">
        <f t="shared" si="10"/>
        <v/>
      </c>
      <c r="P63" s="4" t="str">
        <f t="shared" si="11"/>
        <v/>
      </c>
      <c r="Q63" s="4" t="str">
        <f t="shared" si="12"/>
        <v/>
      </c>
      <c r="R63" s="4" t="str">
        <f t="shared" si="13"/>
        <v/>
      </c>
      <c r="S63" s="14" t="str">
        <f t="shared" si="14"/>
        <v/>
      </c>
      <c r="T63" s="32" t="str">
        <f t="shared" si="18"/>
        <v/>
      </c>
    </row>
    <row r="64" spans="1:20" x14ac:dyDescent="0.2">
      <c r="A64" s="5">
        <f t="shared" si="15"/>
        <v>33333.333333333336</v>
      </c>
      <c r="B64" s="5">
        <f t="shared" si="16"/>
        <v>2250</v>
      </c>
      <c r="D64" s="13">
        <v>0</v>
      </c>
      <c r="E64" s="4">
        <v>10</v>
      </c>
      <c r="F64" s="4">
        <v>5</v>
      </c>
      <c r="G64" s="4">
        <f t="shared" si="5"/>
        <v>124</v>
      </c>
      <c r="H64" s="4">
        <f t="shared" si="19"/>
        <v>124</v>
      </c>
      <c r="I64" s="14">
        <f t="shared" si="17"/>
        <v>3</v>
      </c>
      <c r="K64" s="13" t="str">
        <f t="shared" si="6"/>
        <v>INVAL</v>
      </c>
      <c r="L64" s="39" t="str">
        <f t="shared" si="7"/>
        <v/>
      </c>
      <c r="M64" s="25" t="str">
        <f t="shared" si="8"/>
        <v/>
      </c>
      <c r="N64" s="26" t="str">
        <f t="shared" si="9"/>
        <v/>
      </c>
      <c r="O64" s="27" t="str">
        <f t="shared" si="10"/>
        <v/>
      </c>
      <c r="P64" s="4" t="str">
        <f t="shared" si="11"/>
        <v/>
      </c>
      <c r="Q64" s="4" t="str">
        <f t="shared" si="12"/>
        <v/>
      </c>
      <c r="R64" s="4" t="str">
        <f t="shared" si="13"/>
        <v/>
      </c>
      <c r="S64" s="14" t="str">
        <f t="shared" si="14"/>
        <v/>
      </c>
      <c r="T64" s="32" t="str">
        <f t="shared" si="18"/>
        <v/>
      </c>
    </row>
    <row r="65" spans="1:20" x14ac:dyDescent="0.2">
      <c r="A65" s="5">
        <f t="shared" si="15"/>
        <v>33333.333333333336</v>
      </c>
      <c r="B65" s="5">
        <f t="shared" si="16"/>
        <v>2250</v>
      </c>
      <c r="D65" s="13">
        <v>0</v>
      </c>
      <c r="E65" s="4">
        <v>10</v>
      </c>
      <c r="F65" s="4">
        <v>6</v>
      </c>
      <c r="G65" s="4">
        <f t="shared" si="5"/>
        <v>117</v>
      </c>
      <c r="H65" s="4">
        <f t="shared" si="19"/>
        <v>117.42105263157895</v>
      </c>
      <c r="I65" s="14">
        <f t="shared" si="17"/>
        <v>3</v>
      </c>
      <c r="K65" s="13" t="str">
        <f t="shared" si="6"/>
        <v>INVAL</v>
      </c>
      <c r="L65" s="39" t="str">
        <f t="shared" si="7"/>
        <v/>
      </c>
      <c r="M65" s="25" t="str">
        <f t="shared" si="8"/>
        <v/>
      </c>
      <c r="N65" s="26" t="str">
        <f t="shared" si="9"/>
        <v/>
      </c>
      <c r="O65" s="27" t="str">
        <f t="shared" si="10"/>
        <v/>
      </c>
      <c r="P65" s="4" t="str">
        <f t="shared" si="11"/>
        <v/>
      </c>
      <c r="Q65" s="4" t="str">
        <f t="shared" si="12"/>
        <v/>
      </c>
      <c r="R65" s="4" t="str">
        <f t="shared" si="13"/>
        <v/>
      </c>
      <c r="S65" s="14" t="str">
        <f t="shared" si="14"/>
        <v/>
      </c>
      <c r="T65" s="32" t="str">
        <f t="shared" si="18"/>
        <v/>
      </c>
    </row>
    <row r="66" spans="1:20" x14ac:dyDescent="0.2">
      <c r="A66" s="5">
        <f t="shared" si="15"/>
        <v>33333.333333333336</v>
      </c>
      <c r="B66" s="5">
        <f t="shared" si="16"/>
        <v>2250</v>
      </c>
      <c r="D66" s="13">
        <v>0</v>
      </c>
      <c r="E66" s="4">
        <v>10</v>
      </c>
      <c r="F66" s="4">
        <v>7</v>
      </c>
      <c r="G66" s="4">
        <f t="shared" si="5"/>
        <v>112</v>
      </c>
      <c r="H66" s="4">
        <f t="shared" si="19"/>
        <v>111.5</v>
      </c>
      <c r="I66" s="14">
        <f t="shared" si="17"/>
        <v>3</v>
      </c>
      <c r="K66" s="13" t="str">
        <f t="shared" si="6"/>
        <v>INVAL</v>
      </c>
      <c r="L66" s="39" t="str">
        <f t="shared" si="7"/>
        <v/>
      </c>
      <c r="M66" s="25" t="str">
        <f t="shared" si="8"/>
        <v/>
      </c>
      <c r="N66" s="26" t="str">
        <f t="shared" si="9"/>
        <v/>
      </c>
      <c r="O66" s="27" t="str">
        <f t="shared" si="10"/>
        <v/>
      </c>
      <c r="P66" s="4" t="str">
        <f t="shared" si="11"/>
        <v/>
      </c>
      <c r="Q66" s="4" t="str">
        <f t="shared" si="12"/>
        <v/>
      </c>
      <c r="R66" s="4" t="str">
        <f t="shared" si="13"/>
        <v/>
      </c>
      <c r="S66" s="14" t="str">
        <f t="shared" si="14"/>
        <v/>
      </c>
      <c r="T66" s="32" t="str">
        <f t="shared" si="18"/>
        <v/>
      </c>
    </row>
    <row r="67" spans="1:20" x14ac:dyDescent="0.2">
      <c r="A67" s="5">
        <f t="shared" si="15"/>
        <v>33333.333333333336</v>
      </c>
      <c r="B67" s="5">
        <f t="shared" si="16"/>
        <v>2250</v>
      </c>
      <c r="D67" s="13">
        <v>0</v>
      </c>
      <c r="E67" s="4">
        <v>11</v>
      </c>
      <c r="F67" s="4">
        <v>1</v>
      </c>
      <c r="G67" s="4">
        <f t="shared" si="5"/>
        <v>149</v>
      </c>
      <c r="H67" s="4">
        <f t="shared" si="19"/>
        <v>149</v>
      </c>
      <c r="I67" s="14">
        <f t="shared" si="17"/>
        <v>1</v>
      </c>
      <c r="K67" s="13" t="str">
        <f t="shared" si="6"/>
        <v>INVAL</v>
      </c>
      <c r="L67" s="39" t="str">
        <f t="shared" si="7"/>
        <v/>
      </c>
      <c r="M67" s="25" t="str">
        <f t="shared" si="8"/>
        <v/>
      </c>
      <c r="N67" s="26" t="str">
        <f t="shared" si="9"/>
        <v/>
      </c>
      <c r="O67" s="27" t="str">
        <f t="shared" si="10"/>
        <v/>
      </c>
      <c r="P67" s="4" t="str">
        <f t="shared" si="11"/>
        <v/>
      </c>
      <c r="Q67" s="4" t="str">
        <f t="shared" si="12"/>
        <v/>
      </c>
      <c r="R67" s="4" t="str">
        <f t="shared" si="13"/>
        <v/>
      </c>
      <c r="S67" s="14" t="str">
        <f t="shared" si="14"/>
        <v/>
      </c>
      <c r="T67" s="32" t="str">
        <f t="shared" si="18"/>
        <v/>
      </c>
    </row>
    <row r="68" spans="1:20" x14ac:dyDescent="0.2">
      <c r="A68" s="5">
        <f t="shared" si="15"/>
        <v>33333.333333333336</v>
      </c>
      <c r="B68" s="5">
        <f t="shared" si="16"/>
        <v>2250</v>
      </c>
      <c r="D68" s="13">
        <v>0</v>
      </c>
      <c r="E68" s="4">
        <v>11</v>
      </c>
      <c r="F68" s="4">
        <v>2</v>
      </c>
      <c r="G68" s="4">
        <f t="shared" si="5"/>
        <v>140</v>
      </c>
      <c r="H68" s="4">
        <f t="shared" si="19"/>
        <v>139.625</v>
      </c>
      <c r="I68" s="14">
        <f t="shared" si="17"/>
        <v>2</v>
      </c>
      <c r="K68" s="13" t="str">
        <f t="shared" si="6"/>
        <v>INVAL</v>
      </c>
      <c r="L68" s="39" t="str">
        <f t="shared" si="7"/>
        <v/>
      </c>
      <c r="M68" s="25" t="str">
        <f t="shared" si="8"/>
        <v/>
      </c>
      <c r="N68" s="26" t="str">
        <f t="shared" si="9"/>
        <v/>
      </c>
      <c r="O68" s="27" t="str">
        <f t="shared" si="10"/>
        <v/>
      </c>
      <c r="P68" s="4" t="str">
        <f t="shared" si="11"/>
        <v/>
      </c>
      <c r="Q68" s="4" t="str">
        <f t="shared" si="12"/>
        <v/>
      </c>
      <c r="R68" s="4" t="str">
        <f t="shared" si="13"/>
        <v/>
      </c>
      <c r="S68" s="14" t="str">
        <f t="shared" si="14"/>
        <v/>
      </c>
      <c r="T68" s="32" t="str">
        <f t="shared" si="18"/>
        <v/>
      </c>
    </row>
    <row r="69" spans="1:20" x14ac:dyDescent="0.2">
      <c r="A69" s="5">
        <f t="shared" si="15"/>
        <v>33333.333333333336</v>
      </c>
      <c r="B69" s="5">
        <f t="shared" si="16"/>
        <v>2250</v>
      </c>
      <c r="D69" s="13">
        <v>0</v>
      </c>
      <c r="E69" s="4">
        <v>11</v>
      </c>
      <c r="F69" s="4">
        <v>3</v>
      </c>
      <c r="G69" s="4">
        <f t="shared" si="5"/>
        <v>131</v>
      </c>
      <c r="H69" s="4">
        <f t="shared" si="19"/>
        <v>131.35294117647058</v>
      </c>
      <c r="I69" s="14">
        <f t="shared" si="17"/>
        <v>3</v>
      </c>
      <c r="K69" s="13" t="str">
        <f t="shared" si="6"/>
        <v>INVAL</v>
      </c>
      <c r="L69" s="39" t="str">
        <f t="shared" si="7"/>
        <v/>
      </c>
      <c r="M69" s="25" t="str">
        <f t="shared" si="8"/>
        <v/>
      </c>
      <c r="N69" s="26" t="str">
        <f t="shared" si="9"/>
        <v/>
      </c>
      <c r="O69" s="27" t="str">
        <f t="shared" si="10"/>
        <v/>
      </c>
      <c r="P69" s="4" t="str">
        <f t="shared" si="11"/>
        <v/>
      </c>
      <c r="Q69" s="4" t="str">
        <f t="shared" si="12"/>
        <v/>
      </c>
      <c r="R69" s="4" t="str">
        <f t="shared" si="13"/>
        <v/>
      </c>
      <c r="S69" s="14" t="str">
        <f t="shared" si="14"/>
        <v/>
      </c>
      <c r="T69" s="32" t="str">
        <f t="shared" si="18"/>
        <v/>
      </c>
    </row>
    <row r="70" spans="1:20" x14ac:dyDescent="0.2">
      <c r="A70" s="5">
        <f t="shared" si="15"/>
        <v>33333.333333333336</v>
      </c>
      <c r="B70" s="5">
        <f t="shared" si="16"/>
        <v>2250</v>
      </c>
      <c r="D70" s="13">
        <v>0</v>
      </c>
      <c r="E70" s="4">
        <v>11</v>
      </c>
      <c r="F70" s="4">
        <v>4</v>
      </c>
      <c r="G70" s="4">
        <f t="shared" si="5"/>
        <v>124</v>
      </c>
      <c r="H70" s="4">
        <f t="shared" si="19"/>
        <v>124</v>
      </c>
      <c r="I70" s="14">
        <f t="shared" si="17"/>
        <v>3</v>
      </c>
      <c r="K70" s="13" t="str">
        <f t="shared" si="6"/>
        <v>INVAL</v>
      </c>
      <c r="L70" s="39" t="str">
        <f t="shared" si="7"/>
        <v/>
      </c>
      <c r="M70" s="25" t="str">
        <f t="shared" si="8"/>
        <v/>
      </c>
      <c r="N70" s="26" t="str">
        <f t="shared" si="9"/>
        <v/>
      </c>
      <c r="O70" s="27" t="str">
        <f t="shared" si="10"/>
        <v/>
      </c>
      <c r="P70" s="4" t="str">
        <f t="shared" si="11"/>
        <v/>
      </c>
      <c r="Q70" s="4" t="str">
        <f t="shared" si="12"/>
        <v/>
      </c>
      <c r="R70" s="4" t="str">
        <f t="shared" si="13"/>
        <v/>
      </c>
      <c r="S70" s="14" t="str">
        <f t="shared" si="14"/>
        <v/>
      </c>
      <c r="T70" s="32" t="str">
        <f t="shared" si="18"/>
        <v/>
      </c>
    </row>
    <row r="71" spans="1:20" x14ac:dyDescent="0.2">
      <c r="A71" s="5">
        <f t="shared" ref="A71:A102" si="20">$H$2*1000</f>
        <v>33333.333333333336</v>
      </c>
      <c r="B71" s="5">
        <f t="shared" ref="B71:B102" si="21">$B$5</f>
        <v>2250</v>
      </c>
      <c r="D71" s="13">
        <v>0</v>
      </c>
      <c r="E71" s="4">
        <v>11</v>
      </c>
      <c r="F71" s="4">
        <v>5</v>
      </c>
      <c r="G71" s="4">
        <f t="shared" si="5"/>
        <v>117</v>
      </c>
      <c r="H71" s="4">
        <f t="shared" si="19"/>
        <v>117.42105263157895</v>
      </c>
      <c r="I71" s="14">
        <f t="shared" ref="I71:I102" si="22">IF(MIN(E71-1,F71)&lt;4, MIN(E71-1, F71), 3)</f>
        <v>3</v>
      </c>
      <c r="K71" s="13" t="str">
        <f t="shared" si="6"/>
        <v>INVAL</v>
      </c>
      <c r="L71" s="39" t="str">
        <f t="shared" si="7"/>
        <v/>
      </c>
      <c r="M71" s="25" t="str">
        <f t="shared" si="8"/>
        <v/>
      </c>
      <c r="N71" s="26" t="str">
        <f t="shared" si="9"/>
        <v/>
      </c>
      <c r="O71" s="27" t="str">
        <f t="shared" si="10"/>
        <v/>
      </c>
      <c r="P71" s="4" t="str">
        <f t="shared" si="11"/>
        <v/>
      </c>
      <c r="Q71" s="4" t="str">
        <f t="shared" si="12"/>
        <v/>
      </c>
      <c r="R71" s="4" t="str">
        <f t="shared" si="13"/>
        <v/>
      </c>
      <c r="S71" s="14" t="str">
        <f t="shared" si="14"/>
        <v/>
      </c>
      <c r="T71" s="32" t="str">
        <f t="shared" ref="T71:T102" si="23">IF(K71&lt;&gt;"INVAL",DEC2HEX(E71+F71*POWER(2,4)+I71*(POWER(2,14))+G71*POWER(2,8)+D71*POWER(2,7)), "")</f>
        <v/>
      </c>
    </row>
    <row r="72" spans="1:20" x14ac:dyDescent="0.2">
      <c r="A72" s="5">
        <f t="shared" si="20"/>
        <v>33333.333333333336</v>
      </c>
      <c r="B72" s="5">
        <f t="shared" si="21"/>
        <v>2250</v>
      </c>
      <c r="D72" s="13">
        <v>0</v>
      </c>
      <c r="E72" s="4">
        <v>11</v>
      </c>
      <c r="F72" s="4">
        <v>6</v>
      </c>
      <c r="G72" s="4">
        <f t="shared" ref="G72:G135" si="24">ROUND(H72, 0)</f>
        <v>112</v>
      </c>
      <c r="H72" s="4">
        <f t="shared" si="19"/>
        <v>111.5</v>
      </c>
      <c r="I72" s="14">
        <f t="shared" si="22"/>
        <v>3</v>
      </c>
      <c r="K72" s="13" t="str">
        <f t="shared" ref="K72:K135" si="25">IF(G72&gt;63, "INVAL", IF(G72 = H72, "EXACT", ""))</f>
        <v>INVAL</v>
      </c>
      <c r="L72" s="39" t="str">
        <f t="shared" ref="L72:L135" si="26">IF(K72&lt;&gt;"INVAL", 75000000/((D72*7+1)*(ROUND(H72,0)+1)*(3+E72+F72)), "")</f>
        <v/>
      </c>
      <c r="M72" s="25" t="str">
        <f t="shared" ref="M72:M135" si="27">IF(K72&lt;&gt;"INVAL",ABS((L72-A72)/A72), "")</f>
        <v/>
      </c>
      <c r="N72" s="26" t="str">
        <f t="shared" ref="N72:N135" si="28">IF(K72&lt;&gt;"INVAL",1000/L72, "")</f>
        <v/>
      </c>
      <c r="O72" s="27" t="str">
        <f t="shared" ref="O72:O135" si="29">IF(K72&lt;&gt;"INVAL", (E72+2)/(E72+F72+3), "")</f>
        <v/>
      </c>
      <c r="P72" s="4" t="str">
        <f t="shared" ref="P72:P135" si="30">IF(K72="INVAL","",E72+1)</f>
        <v/>
      </c>
      <c r="Q72" s="4" t="str">
        <f t="shared" ref="Q72:Q135" si="31">IF(K72="INVAL","",F72+1)</f>
        <v/>
      </c>
      <c r="R72" s="4" t="str">
        <f t="shared" ref="R72:R135" si="32">IF(K72="INVAL","",I72+1)</f>
        <v/>
      </c>
      <c r="S72" s="14" t="str">
        <f t="shared" ref="S72:S135" si="33">IF(K72="INVAL","",(G72+1)*(D72*7+1)/75)</f>
        <v/>
      </c>
      <c r="T72" s="32" t="str">
        <f t="shared" si="23"/>
        <v/>
      </c>
    </row>
    <row r="73" spans="1:20" x14ac:dyDescent="0.2">
      <c r="A73" s="5">
        <f t="shared" si="20"/>
        <v>33333.333333333336</v>
      </c>
      <c r="B73" s="5">
        <f t="shared" si="21"/>
        <v>2250</v>
      </c>
      <c r="D73" s="13">
        <v>0</v>
      </c>
      <c r="E73" s="4">
        <v>11</v>
      </c>
      <c r="F73" s="4">
        <v>7</v>
      </c>
      <c r="G73" s="4">
        <f t="shared" si="24"/>
        <v>106</v>
      </c>
      <c r="H73" s="4">
        <f t="shared" si="19"/>
        <v>106.14285714285714</v>
      </c>
      <c r="I73" s="14">
        <f t="shared" si="22"/>
        <v>3</v>
      </c>
      <c r="K73" s="13" t="str">
        <f t="shared" si="25"/>
        <v>INVAL</v>
      </c>
      <c r="L73" s="39" t="str">
        <f t="shared" si="26"/>
        <v/>
      </c>
      <c r="M73" s="25" t="str">
        <f t="shared" si="27"/>
        <v/>
      </c>
      <c r="N73" s="26" t="str">
        <f t="shared" si="28"/>
        <v/>
      </c>
      <c r="O73" s="27" t="str">
        <f t="shared" si="29"/>
        <v/>
      </c>
      <c r="P73" s="4" t="str">
        <f t="shared" si="30"/>
        <v/>
      </c>
      <c r="Q73" s="4" t="str">
        <f t="shared" si="31"/>
        <v/>
      </c>
      <c r="R73" s="4" t="str">
        <f t="shared" si="32"/>
        <v/>
      </c>
      <c r="S73" s="14" t="str">
        <f t="shared" si="33"/>
        <v/>
      </c>
      <c r="T73" s="32" t="str">
        <f t="shared" si="23"/>
        <v/>
      </c>
    </row>
    <row r="74" spans="1:20" x14ac:dyDescent="0.2">
      <c r="A74" s="5">
        <f t="shared" si="20"/>
        <v>33333.333333333336</v>
      </c>
      <c r="B74" s="5">
        <f t="shared" si="21"/>
        <v>2250</v>
      </c>
      <c r="D74" s="13">
        <v>0</v>
      </c>
      <c r="E74" s="4">
        <v>12</v>
      </c>
      <c r="F74" s="4">
        <v>1</v>
      </c>
      <c r="G74" s="4">
        <f t="shared" si="24"/>
        <v>140</v>
      </c>
      <c r="H74" s="4">
        <f t="shared" si="19"/>
        <v>139.625</v>
      </c>
      <c r="I74" s="14">
        <f t="shared" si="22"/>
        <v>1</v>
      </c>
      <c r="K74" s="13" t="str">
        <f t="shared" si="25"/>
        <v>INVAL</v>
      </c>
      <c r="L74" s="39" t="str">
        <f t="shared" si="26"/>
        <v/>
      </c>
      <c r="M74" s="25" t="str">
        <f t="shared" si="27"/>
        <v/>
      </c>
      <c r="N74" s="26" t="str">
        <f t="shared" si="28"/>
        <v/>
      </c>
      <c r="O74" s="27" t="str">
        <f t="shared" si="29"/>
        <v/>
      </c>
      <c r="P74" s="4" t="str">
        <f t="shared" si="30"/>
        <v/>
      </c>
      <c r="Q74" s="4" t="str">
        <f t="shared" si="31"/>
        <v/>
      </c>
      <c r="R74" s="4" t="str">
        <f t="shared" si="32"/>
        <v/>
      </c>
      <c r="S74" s="14" t="str">
        <f t="shared" si="33"/>
        <v/>
      </c>
      <c r="T74" s="32" t="str">
        <f t="shared" si="23"/>
        <v/>
      </c>
    </row>
    <row r="75" spans="1:20" x14ac:dyDescent="0.2">
      <c r="A75" s="5">
        <f t="shared" si="20"/>
        <v>33333.333333333336</v>
      </c>
      <c r="B75" s="5">
        <f t="shared" si="21"/>
        <v>2250</v>
      </c>
      <c r="D75" s="13">
        <v>0</v>
      </c>
      <c r="E75" s="4">
        <v>12</v>
      </c>
      <c r="F75" s="4">
        <v>2</v>
      </c>
      <c r="G75" s="4">
        <f t="shared" si="24"/>
        <v>131</v>
      </c>
      <c r="H75" s="4">
        <f t="shared" si="19"/>
        <v>131.35294117647058</v>
      </c>
      <c r="I75" s="14">
        <f t="shared" si="22"/>
        <v>2</v>
      </c>
      <c r="K75" s="13" t="str">
        <f t="shared" si="25"/>
        <v>INVAL</v>
      </c>
      <c r="L75" s="39" t="str">
        <f t="shared" si="26"/>
        <v/>
      </c>
      <c r="M75" s="25" t="str">
        <f t="shared" si="27"/>
        <v/>
      </c>
      <c r="N75" s="26" t="str">
        <f t="shared" si="28"/>
        <v/>
      </c>
      <c r="O75" s="27" t="str">
        <f t="shared" si="29"/>
        <v/>
      </c>
      <c r="P75" s="4" t="str">
        <f t="shared" si="30"/>
        <v/>
      </c>
      <c r="Q75" s="4" t="str">
        <f t="shared" si="31"/>
        <v/>
      </c>
      <c r="R75" s="4" t="str">
        <f t="shared" si="32"/>
        <v/>
      </c>
      <c r="S75" s="14" t="str">
        <f t="shared" si="33"/>
        <v/>
      </c>
      <c r="T75" s="32" t="str">
        <f t="shared" si="23"/>
        <v/>
      </c>
    </row>
    <row r="76" spans="1:20" x14ac:dyDescent="0.2">
      <c r="A76" s="5">
        <f t="shared" si="20"/>
        <v>33333.333333333336</v>
      </c>
      <c r="B76" s="5">
        <f t="shared" si="21"/>
        <v>2250</v>
      </c>
      <c r="D76" s="13">
        <v>0</v>
      </c>
      <c r="E76" s="4">
        <v>12</v>
      </c>
      <c r="F76" s="4">
        <v>3</v>
      </c>
      <c r="G76" s="4">
        <f t="shared" si="24"/>
        <v>124</v>
      </c>
      <c r="H76" s="4">
        <f t="shared" si="19"/>
        <v>124</v>
      </c>
      <c r="I76" s="14">
        <f t="shared" si="22"/>
        <v>3</v>
      </c>
      <c r="K76" s="13" t="str">
        <f t="shared" si="25"/>
        <v>INVAL</v>
      </c>
      <c r="L76" s="39" t="str">
        <f t="shared" si="26"/>
        <v/>
      </c>
      <c r="M76" s="25" t="str">
        <f t="shared" si="27"/>
        <v/>
      </c>
      <c r="N76" s="26" t="str">
        <f t="shared" si="28"/>
        <v/>
      </c>
      <c r="O76" s="27" t="str">
        <f t="shared" si="29"/>
        <v/>
      </c>
      <c r="P76" s="4" t="str">
        <f t="shared" si="30"/>
        <v/>
      </c>
      <c r="Q76" s="4" t="str">
        <f t="shared" si="31"/>
        <v/>
      </c>
      <c r="R76" s="4" t="str">
        <f t="shared" si="32"/>
        <v/>
      </c>
      <c r="S76" s="14" t="str">
        <f t="shared" si="33"/>
        <v/>
      </c>
      <c r="T76" s="32" t="str">
        <f t="shared" si="23"/>
        <v/>
      </c>
    </row>
    <row r="77" spans="1:20" x14ac:dyDescent="0.2">
      <c r="A77" s="5">
        <f t="shared" si="20"/>
        <v>33333.333333333336</v>
      </c>
      <c r="B77" s="5">
        <f t="shared" si="21"/>
        <v>2250</v>
      </c>
      <c r="D77" s="13">
        <v>0</v>
      </c>
      <c r="E77" s="4">
        <v>12</v>
      </c>
      <c r="F77" s="4">
        <v>4</v>
      </c>
      <c r="G77" s="4">
        <f t="shared" si="24"/>
        <v>117</v>
      </c>
      <c r="H77" s="4">
        <f t="shared" si="19"/>
        <v>117.42105263157895</v>
      </c>
      <c r="I77" s="14">
        <f t="shared" si="22"/>
        <v>3</v>
      </c>
      <c r="K77" s="13" t="str">
        <f t="shared" si="25"/>
        <v>INVAL</v>
      </c>
      <c r="L77" s="39" t="str">
        <f t="shared" si="26"/>
        <v/>
      </c>
      <c r="M77" s="25" t="str">
        <f t="shared" si="27"/>
        <v/>
      </c>
      <c r="N77" s="26" t="str">
        <f t="shared" si="28"/>
        <v/>
      </c>
      <c r="O77" s="27" t="str">
        <f t="shared" si="29"/>
        <v/>
      </c>
      <c r="P77" s="4" t="str">
        <f t="shared" si="30"/>
        <v/>
      </c>
      <c r="Q77" s="4" t="str">
        <f t="shared" si="31"/>
        <v/>
      </c>
      <c r="R77" s="4" t="str">
        <f t="shared" si="32"/>
        <v/>
      </c>
      <c r="S77" s="14" t="str">
        <f t="shared" si="33"/>
        <v/>
      </c>
      <c r="T77" s="32" t="str">
        <f t="shared" si="23"/>
        <v/>
      </c>
    </row>
    <row r="78" spans="1:20" x14ac:dyDescent="0.2">
      <c r="A78" s="5">
        <f t="shared" si="20"/>
        <v>33333.333333333336</v>
      </c>
      <c r="B78" s="5">
        <f t="shared" si="21"/>
        <v>2250</v>
      </c>
      <c r="D78" s="13">
        <v>0</v>
      </c>
      <c r="E78" s="4">
        <v>12</v>
      </c>
      <c r="F78" s="4">
        <v>5</v>
      </c>
      <c r="G78" s="4">
        <f t="shared" si="24"/>
        <v>112</v>
      </c>
      <c r="H78" s="4">
        <f t="shared" si="19"/>
        <v>111.5</v>
      </c>
      <c r="I78" s="14">
        <f t="shared" si="22"/>
        <v>3</v>
      </c>
      <c r="K78" s="13" t="str">
        <f t="shared" si="25"/>
        <v>INVAL</v>
      </c>
      <c r="L78" s="39" t="str">
        <f t="shared" si="26"/>
        <v/>
      </c>
      <c r="M78" s="25" t="str">
        <f t="shared" si="27"/>
        <v/>
      </c>
      <c r="N78" s="26" t="str">
        <f t="shared" si="28"/>
        <v/>
      </c>
      <c r="O78" s="27" t="str">
        <f t="shared" si="29"/>
        <v/>
      </c>
      <c r="P78" s="4" t="str">
        <f t="shared" si="30"/>
        <v/>
      </c>
      <c r="Q78" s="4" t="str">
        <f t="shared" si="31"/>
        <v/>
      </c>
      <c r="R78" s="4" t="str">
        <f t="shared" si="32"/>
        <v/>
      </c>
      <c r="S78" s="14" t="str">
        <f t="shared" si="33"/>
        <v/>
      </c>
      <c r="T78" s="32" t="str">
        <f t="shared" si="23"/>
        <v/>
      </c>
    </row>
    <row r="79" spans="1:20" x14ac:dyDescent="0.2">
      <c r="A79" s="5">
        <f t="shared" si="20"/>
        <v>33333.333333333336</v>
      </c>
      <c r="B79" s="5">
        <f t="shared" si="21"/>
        <v>2250</v>
      </c>
      <c r="D79" s="13">
        <v>0</v>
      </c>
      <c r="E79" s="4">
        <v>12</v>
      </c>
      <c r="F79" s="4">
        <v>6</v>
      </c>
      <c r="G79" s="4">
        <f t="shared" si="24"/>
        <v>106</v>
      </c>
      <c r="H79" s="4">
        <f>B79/((D79*7+1)*(F79+E79+3)) - 1</f>
        <v>106.14285714285714</v>
      </c>
      <c r="I79" s="14">
        <f t="shared" si="22"/>
        <v>3</v>
      </c>
      <c r="K79" s="13" t="str">
        <f t="shared" si="25"/>
        <v>INVAL</v>
      </c>
      <c r="L79" s="39" t="str">
        <f t="shared" si="26"/>
        <v/>
      </c>
      <c r="M79" s="25" t="str">
        <f t="shared" si="27"/>
        <v/>
      </c>
      <c r="N79" s="26" t="str">
        <f t="shared" si="28"/>
        <v/>
      </c>
      <c r="O79" s="27" t="str">
        <f t="shared" si="29"/>
        <v/>
      </c>
      <c r="P79" s="4" t="str">
        <f t="shared" si="30"/>
        <v/>
      </c>
      <c r="Q79" s="4" t="str">
        <f t="shared" si="31"/>
        <v/>
      </c>
      <c r="R79" s="4" t="str">
        <f t="shared" si="32"/>
        <v/>
      </c>
      <c r="S79" s="14" t="str">
        <f t="shared" si="33"/>
        <v/>
      </c>
      <c r="T79" s="32" t="str">
        <f t="shared" si="23"/>
        <v/>
      </c>
    </row>
    <row r="80" spans="1:20" x14ac:dyDescent="0.2">
      <c r="A80" s="5">
        <f t="shared" si="20"/>
        <v>33333.333333333336</v>
      </c>
      <c r="B80" s="5">
        <f t="shared" si="21"/>
        <v>2250</v>
      </c>
      <c r="D80" s="13">
        <v>0</v>
      </c>
      <c r="E80" s="4">
        <v>12</v>
      </c>
      <c r="F80" s="4">
        <v>7</v>
      </c>
      <c r="G80" s="4">
        <f t="shared" si="24"/>
        <v>101</v>
      </c>
      <c r="H80" s="4">
        <f>B80/((D80*7+1)*(F80+E80+3)) - 1</f>
        <v>101.27272727272727</v>
      </c>
      <c r="I80" s="14">
        <f t="shared" si="22"/>
        <v>3</v>
      </c>
      <c r="K80" s="13" t="str">
        <f t="shared" si="25"/>
        <v>INVAL</v>
      </c>
      <c r="L80" s="39" t="str">
        <f t="shared" si="26"/>
        <v/>
      </c>
      <c r="M80" s="25" t="str">
        <f t="shared" si="27"/>
        <v/>
      </c>
      <c r="N80" s="26" t="str">
        <f t="shared" si="28"/>
        <v/>
      </c>
      <c r="O80" s="27" t="str">
        <f t="shared" si="29"/>
        <v/>
      </c>
      <c r="P80" s="4" t="str">
        <f t="shared" si="30"/>
        <v/>
      </c>
      <c r="Q80" s="4" t="str">
        <f t="shared" si="31"/>
        <v/>
      </c>
      <c r="R80" s="4" t="str">
        <f t="shared" si="32"/>
        <v/>
      </c>
      <c r="S80" s="14" t="str">
        <f t="shared" si="33"/>
        <v/>
      </c>
      <c r="T80" s="32" t="str">
        <f t="shared" si="23"/>
        <v/>
      </c>
    </row>
    <row r="81" spans="1:20" x14ac:dyDescent="0.2">
      <c r="A81" s="5">
        <f t="shared" si="20"/>
        <v>33333.333333333336</v>
      </c>
      <c r="B81" s="5">
        <f t="shared" si="21"/>
        <v>2250</v>
      </c>
      <c r="D81" s="13">
        <v>0</v>
      </c>
      <c r="E81" s="4">
        <v>13</v>
      </c>
      <c r="F81" s="4">
        <v>1</v>
      </c>
      <c r="G81" s="4">
        <f t="shared" si="24"/>
        <v>131</v>
      </c>
      <c r="H81" s="4">
        <f t="shared" si="19"/>
        <v>131.35294117647058</v>
      </c>
      <c r="I81" s="14">
        <f t="shared" si="22"/>
        <v>1</v>
      </c>
      <c r="K81" s="13" t="str">
        <f t="shared" si="25"/>
        <v>INVAL</v>
      </c>
      <c r="L81" s="39" t="str">
        <f t="shared" si="26"/>
        <v/>
      </c>
      <c r="M81" s="25" t="str">
        <f t="shared" si="27"/>
        <v/>
      </c>
      <c r="N81" s="26" t="str">
        <f t="shared" si="28"/>
        <v/>
      </c>
      <c r="O81" s="27" t="str">
        <f t="shared" si="29"/>
        <v/>
      </c>
      <c r="P81" s="4" t="str">
        <f t="shared" si="30"/>
        <v/>
      </c>
      <c r="Q81" s="4" t="str">
        <f t="shared" si="31"/>
        <v/>
      </c>
      <c r="R81" s="4" t="str">
        <f t="shared" si="32"/>
        <v/>
      </c>
      <c r="S81" s="14" t="str">
        <f t="shared" si="33"/>
        <v/>
      </c>
      <c r="T81" s="32" t="str">
        <f t="shared" si="23"/>
        <v/>
      </c>
    </row>
    <row r="82" spans="1:20" x14ac:dyDescent="0.2">
      <c r="A82" s="5">
        <f t="shared" si="20"/>
        <v>33333.333333333336</v>
      </c>
      <c r="B82" s="5">
        <f t="shared" si="21"/>
        <v>2250</v>
      </c>
      <c r="D82" s="13">
        <v>0</v>
      </c>
      <c r="E82" s="4">
        <v>13</v>
      </c>
      <c r="F82" s="4">
        <v>2</v>
      </c>
      <c r="G82" s="4">
        <f t="shared" si="24"/>
        <v>124</v>
      </c>
      <c r="H82" s="4">
        <f t="shared" si="19"/>
        <v>124</v>
      </c>
      <c r="I82" s="14">
        <f t="shared" si="22"/>
        <v>2</v>
      </c>
      <c r="K82" s="13" t="str">
        <f t="shared" si="25"/>
        <v>INVAL</v>
      </c>
      <c r="L82" s="39" t="str">
        <f t="shared" si="26"/>
        <v/>
      </c>
      <c r="M82" s="25" t="str">
        <f t="shared" si="27"/>
        <v/>
      </c>
      <c r="N82" s="26" t="str">
        <f t="shared" si="28"/>
        <v/>
      </c>
      <c r="O82" s="27" t="str">
        <f t="shared" si="29"/>
        <v/>
      </c>
      <c r="P82" s="4" t="str">
        <f t="shared" si="30"/>
        <v/>
      </c>
      <c r="Q82" s="4" t="str">
        <f t="shared" si="31"/>
        <v/>
      </c>
      <c r="R82" s="4" t="str">
        <f t="shared" si="32"/>
        <v/>
      </c>
      <c r="S82" s="14" t="str">
        <f t="shared" si="33"/>
        <v/>
      </c>
      <c r="T82" s="32" t="str">
        <f t="shared" si="23"/>
        <v/>
      </c>
    </row>
    <row r="83" spans="1:20" x14ac:dyDescent="0.2">
      <c r="A83" s="5">
        <f t="shared" si="20"/>
        <v>33333.333333333336</v>
      </c>
      <c r="B83" s="5">
        <f t="shared" si="21"/>
        <v>2250</v>
      </c>
      <c r="D83" s="13">
        <v>0</v>
      </c>
      <c r="E83" s="4">
        <v>13</v>
      </c>
      <c r="F83" s="4">
        <v>3</v>
      </c>
      <c r="G83" s="4">
        <f t="shared" si="24"/>
        <v>117</v>
      </c>
      <c r="H83" s="4">
        <f t="shared" si="19"/>
        <v>117.42105263157895</v>
      </c>
      <c r="I83" s="14">
        <f t="shared" si="22"/>
        <v>3</v>
      </c>
      <c r="K83" s="13" t="str">
        <f t="shared" si="25"/>
        <v>INVAL</v>
      </c>
      <c r="L83" s="39" t="str">
        <f t="shared" si="26"/>
        <v/>
      </c>
      <c r="M83" s="25" t="str">
        <f t="shared" si="27"/>
        <v/>
      </c>
      <c r="N83" s="26" t="str">
        <f t="shared" si="28"/>
        <v/>
      </c>
      <c r="O83" s="27" t="str">
        <f t="shared" si="29"/>
        <v/>
      </c>
      <c r="P83" s="4" t="str">
        <f t="shared" si="30"/>
        <v/>
      </c>
      <c r="Q83" s="4" t="str">
        <f t="shared" si="31"/>
        <v/>
      </c>
      <c r="R83" s="4" t="str">
        <f t="shared" si="32"/>
        <v/>
      </c>
      <c r="S83" s="14" t="str">
        <f t="shared" si="33"/>
        <v/>
      </c>
      <c r="T83" s="32" t="str">
        <f t="shared" si="23"/>
        <v/>
      </c>
    </row>
    <row r="84" spans="1:20" x14ac:dyDescent="0.2">
      <c r="A84" s="5">
        <f t="shared" si="20"/>
        <v>33333.333333333336</v>
      </c>
      <c r="B84" s="5">
        <f t="shared" si="21"/>
        <v>2250</v>
      </c>
      <c r="D84" s="13">
        <v>0</v>
      </c>
      <c r="E84" s="4">
        <v>13</v>
      </c>
      <c r="F84" s="4">
        <v>4</v>
      </c>
      <c r="G84" s="4">
        <f t="shared" si="24"/>
        <v>112</v>
      </c>
      <c r="H84" s="4">
        <f t="shared" si="19"/>
        <v>111.5</v>
      </c>
      <c r="I84" s="14">
        <f t="shared" si="22"/>
        <v>3</v>
      </c>
      <c r="K84" s="13" t="str">
        <f t="shared" si="25"/>
        <v>INVAL</v>
      </c>
      <c r="L84" s="39" t="str">
        <f t="shared" si="26"/>
        <v/>
      </c>
      <c r="M84" s="25" t="str">
        <f t="shared" si="27"/>
        <v/>
      </c>
      <c r="N84" s="26" t="str">
        <f t="shared" si="28"/>
        <v/>
      </c>
      <c r="O84" s="27" t="str">
        <f t="shared" si="29"/>
        <v/>
      </c>
      <c r="P84" s="4" t="str">
        <f t="shared" si="30"/>
        <v/>
      </c>
      <c r="Q84" s="4" t="str">
        <f t="shared" si="31"/>
        <v/>
      </c>
      <c r="R84" s="4" t="str">
        <f t="shared" si="32"/>
        <v/>
      </c>
      <c r="S84" s="14" t="str">
        <f t="shared" si="33"/>
        <v/>
      </c>
      <c r="T84" s="32" t="str">
        <f t="shared" si="23"/>
        <v/>
      </c>
    </row>
    <row r="85" spans="1:20" x14ac:dyDescent="0.2">
      <c r="A85" s="5">
        <f t="shared" si="20"/>
        <v>33333.333333333336</v>
      </c>
      <c r="B85" s="5">
        <f t="shared" si="21"/>
        <v>2250</v>
      </c>
      <c r="D85" s="13">
        <v>0</v>
      </c>
      <c r="E85" s="4">
        <v>13</v>
      </c>
      <c r="F85" s="4">
        <v>5</v>
      </c>
      <c r="G85" s="4">
        <f t="shared" si="24"/>
        <v>106</v>
      </c>
      <c r="H85" s="4">
        <f t="shared" si="19"/>
        <v>106.14285714285714</v>
      </c>
      <c r="I85" s="14">
        <f t="shared" si="22"/>
        <v>3</v>
      </c>
      <c r="K85" s="13" t="str">
        <f t="shared" si="25"/>
        <v>INVAL</v>
      </c>
      <c r="L85" s="39" t="str">
        <f t="shared" si="26"/>
        <v/>
      </c>
      <c r="M85" s="25" t="str">
        <f t="shared" si="27"/>
        <v/>
      </c>
      <c r="N85" s="26" t="str">
        <f t="shared" si="28"/>
        <v/>
      </c>
      <c r="O85" s="27" t="str">
        <f t="shared" si="29"/>
        <v/>
      </c>
      <c r="P85" s="4" t="str">
        <f t="shared" si="30"/>
        <v/>
      </c>
      <c r="Q85" s="4" t="str">
        <f t="shared" si="31"/>
        <v/>
      </c>
      <c r="R85" s="4" t="str">
        <f t="shared" si="32"/>
        <v/>
      </c>
      <c r="S85" s="14" t="str">
        <f t="shared" si="33"/>
        <v/>
      </c>
      <c r="T85" s="32" t="str">
        <f t="shared" si="23"/>
        <v/>
      </c>
    </row>
    <row r="86" spans="1:20" x14ac:dyDescent="0.2">
      <c r="A86" s="5">
        <f t="shared" si="20"/>
        <v>33333.333333333336</v>
      </c>
      <c r="B86" s="5">
        <f t="shared" si="21"/>
        <v>2250</v>
      </c>
      <c r="D86" s="13">
        <v>0</v>
      </c>
      <c r="E86" s="4">
        <v>13</v>
      </c>
      <c r="F86" s="4">
        <v>6</v>
      </c>
      <c r="G86" s="4">
        <f t="shared" si="24"/>
        <v>101</v>
      </c>
      <c r="H86" s="4">
        <f t="shared" si="19"/>
        <v>101.27272727272727</v>
      </c>
      <c r="I86" s="14">
        <f t="shared" si="22"/>
        <v>3</v>
      </c>
      <c r="K86" s="13" t="str">
        <f t="shared" si="25"/>
        <v>INVAL</v>
      </c>
      <c r="L86" s="39" t="str">
        <f t="shared" si="26"/>
        <v/>
      </c>
      <c r="M86" s="25" t="str">
        <f t="shared" si="27"/>
        <v/>
      </c>
      <c r="N86" s="26" t="str">
        <f t="shared" si="28"/>
        <v/>
      </c>
      <c r="O86" s="27" t="str">
        <f t="shared" si="29"/>
        <v/>
      </c>
      <c r="P86" s="4" t="str">
        <f t="shared" si="30"/>
        <v/>
      </c>
      <c r="Q86" s="4" t="str">
        <f t="shared" si="31"/>
        <v/>
      </c>
      <c r="R86" s="4" t="str">
        <f t="shared" si="32"/>
        <v/>
      </c>
      <c r="S86" s="14" t="str">
        <f t="shared" si="33"/>
        <v/>
      </c>
      <c r="T86" s="32" t="str">
        <f t="shared" si="23"/>
        <v/>
      </c>
    </row>
    <row r="87" spans="1:20" x14ac:dyDescent="0.2">
      <c r="A87" s="5">
        <f t="shared" si="20"/>
        <v>33333.333333333336</v>
      </c>
      <c r="B87" s="5">
        <f t="shared" si="21"/>
        <v>2250</v>
      </c>
      <c r="D87" s="13">
        <v>0</v>
      </c>
      <c r="E87" s="4">
        <v>13</v>
      </c>
      <c r="F87" s="4">
        <v>7</v>
      </c>
      <c r="G87" s="4">
        <f t="shared" si="24"/>
        <v>97</v>
      </c>
      <c r="H87" s="4">
        <f t="shared" si="19"/>
        <v>96.826086956521735</v>
      </c>
      <c r="I87" s="14">
        <f t="shared" si="22"/>
        <v>3</v>
      </c>
      <c r="K87" s="13" t="str">
        <f t="shared" si="25"/>
        <v>INVAL</v>
      </c>
      <c r="L87" s="39" t="str">
        <f t="shared" si="26"/>
        <v/>
      </c>
      <c r="M87" s="25" t="str">
        <f t="shared" si="27"/>
        <v/>
      </c>
      <c r="N87" s="26" t="str">
        <f t="shared" si="28"/>
        <v/>
      </c>
      <c r="O87" s="27" t="str">
        <f t="shared" si="29"/>
        <v/>
      </c>
      <c r="P87" s="4" t="str">
        <f t="shared" si="30"/>
        <v/>
      </c>
      <c r="Q87" s="4" t="str">
        <f t="shared" si="31"/>
        <v/>
      </c>
      <c r="R87" s="4" t="str">
        <f t="shared" si="32"/>
        <v/>
      </c>
      <c r="S87" s="14" t="str">
        <f t="shared" si="33"/>
        <v/>
      </c>
      <c r="T87" s="32" t="str">
        <f t="shared" si="23"/>
        <v/>
      </c>
    </row>
    <row r="88" spans="1:20" x14ac:dyDescent="0.2">
      <c r="A88" s="5">
        <f t="shared" si="20"/>
        <v>33333.333333333336</v>
      </c>
      <c r="B88" s="5">
        <f t="shared" si="21"/>
        <v>2250</v>
      </c>
      <c r="D88" s="13">
        <v>0</v>
      </c>
      <c r="E88" s="4">
        <v>14</v>
      </c>
      <c r="F88" s="4">
        <v>1</v>
      </c>
      <c r="G88" s="4">
        <f t="shared" si="24"/>
        <v>124</v>
      </c>
      <c r="H88" s="4">
        <f t="shared" si="19"/>
        <v>124</v>
      </c>
      <c r="I88" s="14">
        <f t="shared" si="22"/>
        <v>1</v>
      </c>
      <c r="K88" s="13" t="str">
        <f t="shared" si="25"/>
        <v>INVAL</v>
      </c>
      <c r="L88" s="39" t="str">
        <f t="shared" si="26"/>
        <v/>
      </c>
      <c r="M88" s="25" t="str">
        <f t="shared" si="27"/>
        <v/>
      </c>
      <c r="N88" s="26" t="str">
        <f t="shared" si="28"/>
        <v/>
      </c>
      <c r="O88" s="27" t="str">
        <f t="shared" si="29"/>
        <v/>
      </c>
      <c r="P88" s="4" t="str">
        <f t="shared" si="30"/>
        <v/>
      </c>
      <c r="Q88" s="4" t="str">
        <f t="shared" si="31"/>
        <v/>
      </c>
      <c r="R88" s="4" t="str">
        <f t="shared" si="32"/>
        <v/>
      </c>
      <c r="S88" s="14" t="str">
        <f t="shared" si="33"/>
        <v/>
      </c>
      <c r="T88" s="32" t="str">
        <f t="shared" si="23"/>
        <v/>
      </c>
    </row>
    <row r="89" spans="1:20" x14ac:dyDescent="0.2">
      <c r="A89" s="5">
        <f t="shared" si="20"/>
        <v>33333.333333333336</v>
      </c>
      <c r="B89" s="5">
        <f t="shared" si="21"/>
        <v>2250</v>
      </c>
      <c r="D89" s="13">
        <v>0</v>
      </c>
      <c r="E89" s="4">
        <v>14</v>
      </c>
      <c r="F89" s="4">
        <v>2</v>
      </c>
      <c r="G89" s="4">
        <f t="shared" si="24"/>
        <v>117</v>
      </c>
      <c r="H89" s="4">
        <f t="shared" si="19"/>
        <v>117.42105263157895</v>
      </c>
      <c r="I89" s="14">
        <f t="shared" si="22"/>
        <v>2</v>
      </c>
      <c r="K89" s="13" t="str">
        <f t="shared" si="25"/>
        <v>INVAL</v>
      </c>
      <c r="L89" s="39" t="str">
        <f t="shared" si="26"/>
        <v/>
      </c>
      <c r="M89" s="25" t="str">
        <f t="shared" si="27"/>
        <v/>
      </c>
      <c r="N89" s="26" t="str">
        <f t="shared" si="28"/>
        <v/>
      </c>
      <c r="O89" s="27" t="str">
        <f t="shared" si="29"/>
        <v/>
      </c>
      <c r="P89" s="4" t="str">
        <f t="shared" si="30"/>
        <v/>
      </c>
      <c r="Q89" s="4" t="str">
        <f t="shared" si="31"/>
        <v/>
      </c>
      <c r="R89" s="4" t="str">
        <f t="shared" si="32"/>
        <v/>
      </c>
      <c r="S89" s="14" t="str">
        <f t="shared" si="33"/>
        <v/>
      </c>
      <c r="T89" s="32" t="str">
        <f t="shared" si="23"/>
        <v/>
      </c>
    </row>
    <row r="90" spans="1:20" x14ac:dyDescent="0.2">
      <c r="A90" s="5">
        <f t="shared" si="20"/>
        <v>33333.333333333336</v>
      </c>
      <c r="B90" s="5">
        <f t="shared" si="21"/>
        <v>2250</v>
      </c>
      <c r="D90" s="13">
        <v>0</v>
      </c>
      <c r="E90" s="4">
        <v>14</v>
      </c>
      <c r="F90" s="4">
        <v>3</v>
      </c>
      <c r="G90" s="4">
        <f t="shared" si="24"/>
        <v>112</v>
      </c>
      <c r="H90" s="4">
        <f t="shared" si="19"/>
        <v>111.5</v>
      </c>
      <c r="I90" s="14">
        <f t="shared" si="22"/>
        <v>3</v>
      </c>
      <c r="K90" s="13" t="str">
        <f t="shared" si="25"/>
        <v>INVAL</v>
      </c>
      <c r="L90" s="39" t="str">
        <f t="shared" si="26"/>
        <v/>
      </c>
      <c r="M90" s="25" t="str">
        <f t="shared" si="27"/>
        <v/>
      </c>
      <c r="N90" s="26" t="str">
        <f t="shared" si="28"/>
        <v/>
      </c>
      <c r="O90" s="27" t="str">
        <f t="shared" si="29"/>
        <v/>
      </c>
      <c r="P90" s="4" t="str">
        <f t="shared" si="30"/>
        <v/>
      </c>
      <c r="Q90" s="4" t="str">
        <f t="shared" si="31"/>
        <v/>
      </c>
      <c r="R90" s="4" t="str">
        <f t="shared" si="32"/>
        <v/>
      </c>
      <c r="S90" s="14" t="str">
        <f t="shared" si="33"/>
        <v/>
      </c>
      <c r="T90" s="32" t="str">
        <f t="shared" si="23"/>
        <v/>
      </c>
    </row>
    <row r="91" spans="1:20" x14ac:dyDescent="0.2">
      <c r="A91" s="5">
        <f t="shared" si="20"/>
        <v>33333.333333333336</v>
      </c>
      <c r="B91" s="5">
        <f t="shared" si="21"/>
        <v>2250</v>
      </c>
      <c r="D91" s="13">
        <v>0</v>
      </c>
      <c r="E91" s="4">
        <v>14</v>
      </c>
      <c r="F91" s="4">
        <v>4</v>
      </c>
      <c r="G91" s="4">
        <f t="shared" si="24"/>
        <v>106</v>
      </c>
      <c r="H91" s="4">
        <f t="shared" si="19"/>
        <v>106.14285714285714</v>
      </c>
      <c r="I91" s="14">
        <f t="shared" si="22"/>
        <v>3</v>
      </c>
      <c r="K91" s="13" t="str">
        <f t="shared" si="25"/>
        <v>INVAL</v>
      </c>
      <c r="L91" s="39" t="str">
        <f t="shared" si="26"/>
        <v/>
      </c>
      <c r="M91" s="25" t="str">
        <f t="shared" si="27"/>
        <v/>
      </c>
      <c r="N91" s="26" t="str">
        <f t="shared" si="28"/>
        <v/>
      </c>
      <c r="O91" s="27" t="str">
        <f t="shared" si="29"/>
        <v/>
      </c>
      <c r="P91" s="4" t="str">
        <f t="shared" si="30"/>
        <v/>
      </c>
      <c r="Q91" s="4" t="str">
        <f t="shared" si="31"/>
        <v/>
      </c>
      <c r="R91" s="4" t="str">
        <f t="shared" si="32"/>
        <v/>
      </c>
      <c r="S91" s="14" t="str">
        <f t="shared" si="33"/>
        <v/>
      </c>
      <c r="T91" s="32" t="str">
        <f t="shared" si="23"/>
        <v/>
      </c>
    </row>
    <row r="92" spans="1:20" x14ac:dyDescent="0.2">
      <c r="A92" s="5">
        <f t="shared" si="20"/>
        <v>33333.333333333336</v>
      </c>
      <c r="B92" s="5">
        <f t="shared" si="21"/>
        <v>2250</v>
      </c>
      <c r="D92" s="13">
        <v>0</v>
      </c>
      <c r="E92" s="4">
        <v>14</v>
      </c>
      <c r="F92" s="4">
        <v>5</v>
      </c>
      <c r="G92" s="4">
        <f t="shared" si="24"/>
        <v>101</v>
      </c>
      <c r="H92" s="4">
        <f t="shared" ref="H92:H99" si="34">B92/((D92*7+1)*(F92+E92+3)) - 1</f>
        <v>101.27272727272727</v>
      </c>
      <c r="I92" s="14">
        <f t="shared" si="22"/>
        <v>3</v>
      </c>
      <c r="K92" s="13" t="str">
        <f t="shared" si="25"/>
        <v>INVAL</v>
      </c>
      <c r="L92" s="39" t="str">
        <f t="shared" si="26"/>
        <v/>
      </c>
      <c r="M92" s="25" t="str">
        <f t="shared" si="27"/>
        <v/>
      </c>
      <c r="N92" s="26" t="str">
        <f t="shared" si="28"/>
        <v/>
      </c>
      <c r="O92" s="27" t="str">
        <f t="shared" si="29"/>
        <v/>
      </c>
      <c r="P92" s="4" t="str">
        <f t="shared" si="30"/>
        <v/>
      </c>
      <c r="Q92" s="4" t="str">
        <f t="shared" si="31"/>
        <v/>
      </c>
      <c r="R92" s="4" t="str">
        <f t="shared" si="32"/>
        <v/>
      </c>
      <c r="S92" s="14" t="str">
        <f t="shared" si="33"/>
        <v/>
      </c>
      <c r="T92" s="32" t="str">
        <f t="shared" si="23"/>
        <v/>
      </c>
    </row>
    <row r="93" spans="1:20" x14ac:dyDescent="0.2">
      <c r="A93" s="5">
        <f t="shared" si="20"/>
        <v>33333.333333333336</v>
      </c>
      <c r="B93" s="5">
        <f t="shared" si="21"/>
        <v>2250</v>
      </c>
      <c r="D93" s="13">
        <v>0</v>
      </c>
      <c r="E93" s="4">
        <v>14</v>
      </c>
      <c r="F93" s="4">
        <v>6</v>
      </c>
      <c r="G93" s="4">
        <f t="shared" si="24"/>
        <v>97</v>
      </c>
      <c r="H93" s="4">
        <f t="shared" si="34"/>
        <v>96.826086956521735</v>
      </c>
      <c r="I93" s="14">
        <f t="shared" si="22"/>
        <v>3</v>
      </c>
      <c r="K93" s="13" t="str">
        <f t="shared" si="25"/>
        <v>INVAL</v>
      </c>
      <c r="L93" s="39" t="str">
        <f t="shared" si="26"/>
        <v/>
      </c>
      <c r="M93" s="25" t="str">
        <f t="shared" si="27"/>
        <v/>
      </c>
      <c r="N93" s="26" t="str">
        <f t="shared" si="28"/>
        <v/>
      </c>
      <c r="O93" s="27" t="str">
        <f t="shared" si="29"/>
        <v/>
      </c>
      <c r="P93" s="4" t="str">
        <f t="shared" si="30"/>
        <v/>
      </c>
      <c r="Q93" s="4" t="str">
        <f t="shared" si="31"/>
        <v/>
      </c>
      <c r="R93" s="4" t="str">
        <f t="shared" si="32"/>
        <v/>
      </c>
      <c r="S93" s="14" t="str">
        <f t="shared" si="33"/>
        <v/>
      </c>
      <c r="T93" s="32" t="str">
        <f t="shared" si="23"/>
        <v/>
      </c>
    </row>
    <row r="94" spans="1:20" x14ac:dyDescent="0.2">
      <c r="A94" s="5">
        <f t="shared" si="20"/>
        <v>33333.333333333336</v>
      </c>
      <c r="B94" s="5">
        <f t="shared" si="21"/>
        <v>2250</v>
      </c>
      <c r="D94" s="13">
        <v>0</v>
      </c>
      <c r="E94" s="4">
        <v>14</v>
      </c>
      <c r="F94" s="4">
        <v>7</v>
      </c>
      <c r="G94" s="4">
        <f t="shared" si="24"/>
        <v>93</v>
      </c>
      <c r="H94" s="4">
        <f t="shared" si="34"/>
        <v>92.75</v>
      </c>
      <c r="I94" s="14">
        <f t="shared" si="22"/>
        <v>3</v>
      </c>
      <c r="K94" s="13" t="str">
        <f t="shared" si="25"/>
        <v>INVAL</v>
      </c>
      <c r="L94" s="39" t="str">
        <f t="shared" si="26"/>
        <v/>
      </c>
      <c r="M94" s="25" t="str">
        <f t="shared" si="27"/>
        <v/>
      </c>
      <c r="N94" s="26" t="str">
        <f t="shared" si="28"/>
        <v/>
      </c>
      <c r="O94" s="27" t="str">
        <f t="shared" si="29"/>
        <v/>
      </c>
      <c r="P94" s="4" t="str">
        <f t="shared" si="30"/>
        <v/>
      </c>
      <c r="Q94" s="4" t="str">
        <f t="shared" si="31"/>
        <v/>
      </c>
      <c r="R94" s="4" t="str">
        <f t="shared" si="32"/>
        <v/>
      </c>
      <c r="S94" s="14" t="str">
        <f t="shared" si="33"/>
        <v/>
      </c>
      <c r="T94" s="32" t="str">
        <f t="shared" si="23"/>
        <v/>
      </c>
    </row>
    <row r="95" spans="1:20" x14ac:dyDescent="0.2">
      <c r="A95" s="5">
        <f t="shared" si="20"/>
        <v>33333.333333333336</v>
      </c>
      <c r="B95" s="5">
        <f t="shared" si="21"/>
        <v>2250</v>
      </c>
      <c r="D95" s="13">
        <v>0</v>
      </c>
      <c r="E95" s="4">
        <v>15</v>
      </c>
      <c r="F95" s="4">
        <v>1</v>
      </c>
      <c r="G95" s="4">
        <f t="shared" si="24"/>
        <v>117</v>
      </c>
      <c r="H95" s="4">
        <f t="shared" si="34"/>
        <v>117.42105263157895</v>
      </c>
      <c r="I95" s="14">
        <f t="shared" si="22"/>
        <v>1</v>
      </c>
      <c r="K95" s="13" t="str">
        <f t="shared" si="25"/>
        <v>INVAL</v>
      </c>
      <c r="L95" s="39" t="str">
        <f t="shared" si="26"/>
        <v/>
      </c>
      <c r="M95" s="25" t="str">
        <f t="shared" si="27"/>
        <v/>
      </c>
      <c r="N95" s="26" t="str">
        <f t="shared" si="28"/>
        <v/>
      </c>
      <c r="O95" s="27" t="str">
        <f t="shared" si="29"/>
        <v/>
      </c>
      <c r="P95" s="4" t="str">
        <f t="shared" si="30"/>
        <v/>
      </c>
      <c r="Q95" s="4" t="str">
        <f t="shared" si="31"/>
        <v/>
      </c>
      <c r="R95" s="4" t="str">
        <f t="shared" si="32"/>
        <v/>
      </c>
      <c r="S95" s="14" t="str">
        <f t="shared" si="33"/>
        <v/>
      </c>
      <c r="T95" s="32" t="str">
        <f t="shared" si="23"/>
        <v/>
      </c>
    </row>
    <row r="96" spans="1:20" x14ac:dyDescent="0.2">
      <c r="A96" s="5">
        <f t="shared" si="20"/>
        <v>33333.333333333336</v>
      </c>
      <c r="B96" s="5">
        <f t="shared" si="21"/>
        <v>2250</v>
      </c>
      <c r="D96" s="13">
        <v>0</v>
      </c>
      <c r="E96" s="4">
        <v>15</v>
      </c>
      <c r="F96" s="4">
        <v>2</v>
      </c>
      <c r="G96" s="4">
        <f t="shared" si="24"/>
        <v>112</v>
      </c>
      <c r="H96" s="4">
        <f t="shared" si="34"/>
        <v>111.5</v>
      </c>
      <c r="I96" s="14">
        <f t="shared" si="22"/>
        <v>2</v>
      </c>
      <c r="K96" s="13" t="str">
        <f t="shared" si="25"/>
        <v>INVAL</v>
      </c>
      <c r="L96" s="39" t="str">
        <f t="shared" si="26"/>
        <v/>
      </c>
      <c r="M96" s="25" t="str">
        <f t="shared" si="27"/>
        <v/>
      </c>
      <c r="N96" s="26" t="str">
        <f t="shared" si="28"/>
        <v/>
      </c>
      <c r="O96" s="27" t="str">
        <f t="shared" si="29"/>
        <v/>
      </c>
      <c r="P96" s="4" t="str">
        <f t="shared" si="30"/>
        <v/>
      </c>
      <c r="Q96" s="4" t="str">
        <f t="shared" si="31"/>
        <v/>
      </c>
      <c r="R96" s="4" t="str">
        <f t="shared" si="32"/>
        <v/>
      </c>
      <c r="S96" s="14" t="str">
        <f t="shared" si="33"/>
        <v/>
      </c>
      <c r="T96" s="32" t="str">
        <f t="shared" si="23"/>
        <v/>
      </c>
    </row>
    <row r="97" spans="1:20" x14ac:dyDescent="0.2">
      <c r="A97" s="5">
        <f t="shared" si="20"/>
        <v>33333.333333333336</v>
      </c>
      <c r="B97" s="5">
        <f t="shared" si="21"/>
        <v>2250</v>
      </c>
      <c r="D97" s="13">
        <v>0</v>
      </c>
      <c r="E97" s="4">
        <v>15</v>
      </c>
      <c r="F97" s="4">
        <v>3</v>
      </c>
      <c r="G97" s="4">
        <f t="shared" si="24"/>
        <v>106</v>
      </c>
      <c r="H97" s="4">
        <f t="shared" si="34"/>
        <v>106.14285714285714</v>
      </c>
      <c r="I97" s="14">
        <f t="shared" si="22"/>
        <v>3</v>
      </c>
      <c r="K97" s="13" t="str">
        <f t="shared" si="25"/>
        <v>INVAL</v>
      </c>
      <c r="L97" s="39" t="str">
        <f t="shared" si="26"/>
        <v/>
      </c>
      <c r="M97" s="25" t="str">
        <f t="shared" si="27"/>
        <v/>
      </c>
      <c r="N97" s="26" t="str">
        <f t="shared" si="28"/>
        <v/>
      </c>
      <c r="O97" s="27" t="str">
        <f t="shared" si="29"/>
        <v/>
      </c>
      <c r="P97" s="4" t="str">
        <f t="shared" si="30"/>
        <v/>
      </c>
      <c r="Q97" s="4" t="str">
        <f t="shared" si="31"/>
        <v/>
      </c>
      <c r="R97" s="4" t="str">
        <f t="shared" si="32"/>
        <v/>
      </c>
      <c r="S97" s="14" t="str">
        <f t="shared" si="33"/>
        <v/>
      </c>
      <c r="T97" s="32" t="str">
        <f t="shared" si="23"/>
        <v/>
      </c>
    </row>
    <row r="98" spans="1:20" x14ac:dyDescent="0.2">
      <c r="A98" s="5">
        <f t="shared" si="20"/>
        <v>33333.333333333336</v>
      </c>
      <c r="B98" s="5">
        <f t="shared" si="21"/>
        <v>2250</v>
      </c>
      <c r="D98" s="13">
        <v>0</v>
      </c>
      <c r="E98" s="4">
        <v>15</v>
      </c>
      <c r="F98" s="4">
        <v>4</v>
      </c>
      <c r="G98" s="4">
        <f t="shared" si="24"/>
        <v>101</v>
      </c>
      <c r="H98" s="4">
        <f t="shared" si="34"/>
        <v>101.27272727272727</v>
      </c>
      <c r="I98" s="14">
        <f t="shared" si="22"/>
        <v>3</v>
      </c>
      <c r="K98" s="13" t="str">
        <f t="shared" si="25"/>
        <v>INVAL</v>
      </c>
      <c r="L98" s="39" t="str">
        <f t="shared" si="26"/>
        <v/>
      </c>
      <c r="M98" s="25" t="str">
        <f t="shared" si="27"/>
        <v/>
      </c>
      <c r="N98" s="26" t="str">
        <f t="shared" si="28"/>
        <v/>
      </c>
      <c r="O98" s="27" t="str">
        <f t="shared" si="29"/>
        <v/>
      </c>
      <c r="P98" s="4" t="str">
        <f t="shared" si="30"/>
        <v/>
      </c>
      <c r="Q98" s="4" t="str">
        <f t="shared" si="31"/>
        <v/>
      </c>
      <c r="R98" s="4" t="str">
        <f t="shared" si="32"/>
        <v/>
      </c>
      <c r="S98" s="14" t="str">
        <f t="shared" si="33"/>
        <v/>
      </c>
      <c r="T98" s="32" t="str">
        <f t="shared" si="23"/>
        <v/>
      </c>
    </row>
    <row r="99" spans="1:20" x14ac:dyDescent="0.2">
      <c r="A99" s="5">
        <f t="shared" si="20"/>
        <v>33333.333333333336</v>
      </c>
      <c r="B99" s="5">
        <f t="shared" si="21"/>
        <v>2250</v>
      </c>
      <c r="D99" s="13">
        <v>0</v>
      </c>
      <c r="E99" s="4">
        <v>15</v>
      </c>
      <c r="F99" s="4">
        <v>5</v>
      </c>
      <c r="G99" s="4">
        <f t="shared" si="24"/>
        <v>97</v>
      </c>
      <c r="H99" s="4">
        <f t="shared" si="34"/>
        <v>96.826086956521735</v>
      </c>
      <c r="I99" s="14">
        <f t="shared" si="22"/>
        <v>3</v>
      </c>
      <c r="K99" s="13" t="str">
        <f t="shared" si="25"/>
        <v>INVAL</v>
      </c>
      <c r="L99" s="39" t="str">
        <f t="shared" si="26"/>
        <v/>
      </c>
      <c r="M99" s="25" t="str">
        <f t="shared" si="27"/>
        <v/>
      </c>
      <c r="N99" s="26" t="str">
        <f t="shared" si="28"/>
        <v/>
      </c>
      <c r="O99" s="27" t="str">
        <f t="shared" si="29"/>
        <v/>
      </c>
      <c r="P99" s="4" t="str">
        <f t="shared" si="30"/>
        <v/>
      </c>
      <c r="Q99" s="4" t="str">
        <f t="shared" si="31"/>
        <v/>
      </c>
      <c r="R99" s="4" t="str">
        <f t="shared" si="32"/>
        <v/>
      </c>
      <c r="S99" s="14" t="str">
        <f t="shared" si="33"/>
        <v/>
      </c>
      <c r="T99" s="32" t="str">
        <f t="shared" si="23"/>
        <v/>
      </c>
    </row>
    <row r="100" spans="1:20" x14ac:dyDescent="0.2">
      <c r="A100" s="5">
        <f t="shared" si="20"/>
        <v>33333.333333333336</v>
      </c>
      <c r="B100" s="5">
        <f t="shared" si="21"/>
        <v>2250</v>
      </c>
      <c r="D100" s="13">
        <v>0</v>
      </c>
      <c r="E100" s="4">
        <v>15</v>
      </c>
      <c r="F100" s="4">
        <v>6</v>
      </c>
      <c r="G100" s="4">
        <f t="shared" si="24"/>
        <v>93</v>
      </c>
      <c r="H100" s="4">
        <f t="shared" ref="H100:H160" si="35">B100/((D100*7+1)*(F100+E100+3)) - 1</f>
        <v>92.75</v>
      </c>
      <c r="I100" s="14">
        <f t="shared" si="22"/>
        <v>3</v>
      </c>
      <c r="K100" s="13" t="str">
        <f t="shared" si="25"/>
        <v>INVAL</v>
      </c>
      <c r="L100" s="39" t="str">
        <f t="shared" si="26"/>
        <v/>
      </c>
      <c r="M100" s="25" t="str">
        <f t="shared" si="27"/>
        <v/>
      </c>
      <c r="N100" s="26" t="str">
        <f t="shared" si="28"/>
        <v/>
      </c>
      <c r="O100" s="27" t="str">
        <f t="shared" si="29"/>
        <v/>
      </c>
      <c r="P100" s="4" t="str">
        <f t="shared" si="30"/>
        <v/>
      </c>
      <c r="Q100" s="4" t="str">
        <f t="shared" si="31"/>
        <v/>
      </c>
      <c r="R100" s="4" t="str">
        <f t="shared" si="32"/>
        <v/>
      </c>
      <c r="S100" s="14" t="str">
        <f t="shared" si="33"/>
        <v/>
      </c>
      <c r="T100" s="32" t="str">
        <f t="shared" si="23"/>
        <v/>
      </c>
    </row>
    <row r="101" spans="1:20" x14ac:dyDescent="0.2">
      <c r="A101" s="5">
        <f t="shared" si="20"/>
        <v>33333.333333333336</v>
      </c>
      <c r="B101" s="5">
        <f t="shared" si="21"/>
        <v>2250</v>
      </c>
      <c r="D101" s="13">
        <v>0</v>
      </c>
      <c r="E101" s="4">
        <v>15</v>
      </c>
      <c r="F101" s="4">
        <v>7</v>
      </c>
      <c r="G101" s="4">
        <f t="shared" si="24"/>
        <v>89</v>
      </c>
      <c r="H101" s="4">
        <f t="shared" si="35"/>
        <v>89</v>
      </c>
      <c r="I101" s="14">
        <f t="shared" si="22"/>
        <v>3</v>
      </c>
      <c r="K101" s="13" t="str">
        <f t="shared" si="25"/>
        <v>INVAL</v>
      </c>
      <c r="L101" s="39" t="str">
        <f t="shared" si="26"/>
        <v/>
      </c>
      <c r="M101" s="25" t="str">
        <f t="shared" si="27"/>
        <v/>
      </c>
      <c r="N101" s="26" t="str">
        <f t="shared" si="28"/>
        <v/>
      </c>
      <c r="O101" s="27" t="str">
        <f t="shared" si="29"/>
        <v/>
      </c>
      <c r="P101" s="4" t="str">
        <f t="shared" si="30"/>
        <v/>
      </c>
      <c r="Q101" s="4" t="str">
        <f t="shared" si="31"/>
        <v/>
      </c>
      <c r="R101" s="4" t="str">
        <f t="shared" si="32"/>
        <v/>
      </c>
      <c r="S101" s="14" t="str">
        <f t="shared" si="33"/>
        <v/>
      </c>
      <c r="T101" s="32" t="str">
        <f t="shared" si="23"/>
        <v/>
      </c>
    </row>
    <row r="102" spans="1:20" x14ac:dyDescent="0.2">
      <c r="A102" s="5">
        <f t="shared" si="20"/>
        <v>33333.333333333336</v>
      </c>
      <c r="B102" s="5">
        <f t="shared" si="21"/>
        <v>2250</v>
      </c>
      <c r="D102" s="13">
        <v>1</v>
      </c>
      <c r="E102" s="4">
        <v>2</v>
      </c>
      <c r="F102" s="4">
        <v>3</v>
      </c>
      <c r="G102" s="4">
        <f t="shared" si="24"/>
        <v>34</v>
      </c>
      <c r="H102" s="4">
        <f t="shared" si="35"/>
        <v>34.15625</v>
      </c>
      <c r="I102" s="14">
        <f t="shared" si="22"/>
        <v>1</v>
      </c>
      <c r="K102" s="13" t="str">
        <f t="shared" si="25"/>
        <v/>
      </c>
      <c r="L102" s="39">
        <f t="shared" si="26"/>
        <v>33482.142857142855</v>
      </c>
      <c r="M102" s="25">
        <f t="shared" si="27"/>
        <v>4.4642857142855787E-3</v>
      </c>
      <c r="N102" s="26">
        <f t="shared" si="28"/>
        <v>2.986666666666667E-2</v>
      </c>
      <c r="O102" s="27">
        <f t="shared" si="29"/>
        <v>0.5</v>
      </c>
      <c r="P102" s="4">
        <f t="shared" si="30"/>
        <v>3</v>
      </c>
      <c r="Q102" s="4">
        <f t="shared" si="31"/>
        <v>4</v>
      </c>
      <c r="R102" s="4">
        <f t="shared" si="32"/>
        <v>2</v>
      </c>
      <c r="S102" s="14">
        <f t="shared" si="33"/>
        <v>3.7333333333333334</v>
      </c>
      <c r="T102" s="32" t="str">
        <f t="shared" si="23"/>
        <v>62B2</v>
      </c>
    </row>
    <row r="103" spans="1:20" x14ac:dyDescent="0.2">
      <c r="A103" s="5">
        <f t="shared" ref="A103:A134" si="36">$H$2*1000</f>
        <v>33333.333333333336</v>
      </c>
      <c r="B103" s="5">
        <f t="shared" ref="B103:B134" si="37">$B$5</f>
        <v>2250</v>
      </c>
      <c r="D103" s="13">
        <v>1</v>
      </c>
      <c r="E103" s="4">
        <v>2</v>
      </c>
      <c r="F103" s="4">
        <v>4</v>
      </c>
      <c r="G103" s="4">
        <f t="shared" si="24"/>
        <v>30</v>
      </c>
      <c r="H103" s="4">
        <f t="shared" si="35"/>
        <v>30.25</v>
      </c>
      <c r="I103" s="14">
        <f t="shared" ref="I103:I134" si="38">IF(MIN(E103-1,F103)&lt;4, MIN(E103-1, F103), 3)</f>
        <v>1</v>
      </c>
      <c r="K103" s="13" t="str">
        <f t="shared" si="25"/>
        <v/>
      </c>
      <c r="L103" s="39">
        <f t="shared" si="26"/>
        <v>33602.150537634407</v>
      </c>
      <c r="M103" s="25">
        <f t="shared" si="27"/>
        <v>8.064516129032126E-3</v>
      </c>
      <c r="N103" s="26">
        <f t="shared" si="28"/>
        <v>2.9760000000000002E-2</v>
      </c>
      <c r="O103" s="27">
        <f t="shared" si="29"/>
        <v>0.44444444444444442</v>
      </c>
      <c r="P103" s="4">
        <f t="shared" si="30"/>
        <v>3</v>
      </c>
      <c r="Q103" s="4">
        <f t="shared" si="31"/>
        <v>5</v>
      </c>
      <c r="R103" s="4">
        <f t="shared" si="32"/>
        <v>2</v>
      </c>
      <c r="S103" s="14">
        <f t="shared" si="33"/>
        <v>3.3066666666666666</v>
      </c>
      <c r="T103" s="32" t="str">
        <f t="shared" ref="T103:T134" si="39">IF(K103&lt;&gt;"INVAL",DEC2HEX(E103+F103*POWER(2,4)+I103*(POWER(2,14))+G103*POWER(2,8)+D103*POWER(2,7)), "")</f>
        <v>5EC2</v>
      </c>
    </row>
    <row r="104" spans="1:20" x14ac:dyDescent="0.2">
      <c r="A104" s="5">
        <f t="shared" si="36"/>
        <v>33333.333333333336</v>
      </c>
      <c r="B104" s="5">
        <f t="shared" si="37"/>
        <v>2250</v>
      </c>
      <c r="D104" s="13">
        <v>1</v>
      </c>
      <c r="E104" s="4">
        <v>2</v>
      </c>
      <c r="F104" s="4">
        <v>5</v>
      </c>
      <c r="G104" s="4">
        <f t="shared" si="24"/>
        <v>27</v>
      </c>
      <c r="H104" s="4">
        <f t="shared" si="35"/>
        <v>27.125</v>
      </c>
      <c r="I104" s="14">
        <f t="shared" si="38"/>
        <v>1</v>
      </c>
      <c r="K104" s="13" t="str">
        <f t="shared" si="25"/>
        <v/>
      </c>
      <c r="L104" s="59">
        <f t="shared" si="26"/>
        <v>33482.142857142855</v>
      </c>
      <c r="M104" s="60">
        <f t="shared" si="27"/>
        <v>4.4642857142855787E-3</v>
      </c>
      <c r="N104" s="61">
        <f t="shared" si="28"/>
        <v>2.986666666666667E-2</v>
      </c>
      <c r="O104" s="62">
        <f t="shared" si="29"/>
        <v>0.4</v>
      </c>
      <c r="P104" s="63">
        <f t="shared" si="30"/>
        <v>3</v>
      </c>
      <c r="Q104" s="63">
        <f t="shared" si="31"/>
        <v>6</v>
      </c>
      <c r="R104" s="63">
        <f t="shared" si="32"/>
        <v>2</v>
      </c>
      <c r="S104" s="64">
        <f t="shared" si="33"/>
        <v>2.9866666666666668</v>
      </c>
      <c r="T104" s="65" t="str">
        <f t="shared" si="39"/>
        <v>5BD2</v>
      </c>
    </row>
    <row r="105" spans="1:20" x14ac:dyDescent="0.2">
      <c r="A105" s="5">
        <f t="shared" si="36"/>
        <v>33333.333333333336</v>
      </c>
      <c r="B105" s="5">
        <f t="shared" si="37"/>
        <v>2250</v>
      </c>
      <c r="D105" s="13">
        <v>1</v>
      </c>
      <c r="E105" s="4">
        <v>2</v>
      </c>
      <c r="F105" s="4">
        <v>6</v>
      </c>
      <c r="G105" s="4">
        <f t="shared" si="24"/>
        <v>25</v>
      </c>
      <c r="H105" s="4">
        <f t="shared" si="35"/>
        <v>24.568181818181817</v>
      </c>
      <c r="I105" s="14">
        <f t="shared" si="38"/>
        <v>1</v>
      </c>
      <c r="K105" s="13" t="str">
        <f t="shared" si="25"/>
        <v/>
      </c>
      <c r="L105" s="39">
        <f t="shared" si="26"/>
        <v>32779.720279720277</v>
      </c>
      <c r="M105" s="25">
        <f t="shared" si="27"/>
        <v>1.6608391608391757E-2</v>
      </c>
      <c r="N105" s="26">
        <f t="shared" si="28"/>
        <v>3.0506666666666668E-2</v>
      </c>
      <c r="O105" s="27">
        <f t="shared" si="29"/>
        <v>0.36363636363636365</v>
      </c>
      <c r="P105" s="4">
        <f t="shared" si="30"/>
        <v>3</v>
      </c>
      <c r="Q105" s="4">
        <f t="shared" si="31"/>
        <v>7</v>
      </c>
      <c r="R105" s="4">
        <f t="shared" si="32"/>
        <v>2</v>
      </c>
      <c r="S105" s="14">
        <f t="shared" si="33"/>
        <v>2.7733333333333334</v>
      </c>
      <c r="T105" s="32" t="str">
        <f t="shared" si="39"/>
        <v>59E2</v>
      </c>
    </row>
    <row r="106" spans="1:20" x14ac:dyDescent="0.2">
      <c r="A106" s="5">
        <f t="shared" si="36"/>
        <v>33333.333333333336</v>
      </c>
      <c r="B106" s="5">
        <f t="shared" si="37"/>
        <v>2250</v>
      </c>
      <c r="D106" s="13">
        <v>1</v>
      </c>
      <c r="E106" s="4">
        <v>2</v>
      </c>
      <c r="F106" s="4">
        <v>7</v>
      </c>
      <c r="G106" s="4">
        <f t="shared" si="24"/>
        <v>22</v>
      </c>
      <c r="H106" s="4">
        <f t="shared" si="35"/>
        <v>22.4375</v>
      </c>
      <c r="I106" s="14">
        <f t="shared" si="38"/>
        <v>1</v>
      </c>
      <c r="K106" s="13" t="str">
        <f t="shared" si="25"/>
        <v/>
      </c>
      <c r="L106" s="39">
        <f t="shared" si="26"/>
        <v>33967.391304347824</v>
      </c>
      <c r="M106" s="25">
        <f t="shared" si="27"/>
        <v>1.9021739130434652E-2</v>
      </c>
      <c r="N106" s="26">
        <f t="shared" si="28"/>
        <v>2.9440000000000001E-2</v>
      </c>
      <c r="O106" s="27">
        <f t="shared" si="29"/>
        <v>0.33333333333333331</v>
      </c>
      <c r="P106" s="4">
        <f t="shared" si="30"/>
        <v>3</v>
      </c>
      <c r="Q106" s="4">
        <f t="shared" si="31"/>
        <v>8</v>
      </c>
      <c r="R106" s="4">
        <f t="shared" si="32"/>
        <v>2</v>
      </c>
      <c r="S106" s="14">
        <f t="shared" si="33"/>
        <v>2.4533333333333331</v>
      </c>
      <c r="T106" s="32" t="str">
        <f t="shared" si="39"/>
        <v>56F2</v>
      </c>
    </row>
    <row r="107" spans="1:20" x14ac:dyDescent="0.2">
      <c r="A107" s="5">
        <f t="shared" si="36"/>
        <v>33333.333333333336</v>
      </c>
      <c r="B107" s="5">
        <f t="shared" si="37"/>
        <v>2250</v>
      </c>
      <c r="D107" s="13">
        <v>1</v>
      </c>
      <c r="E107" s="4">
        <v>3</v>
      </c>
      <c r="F107" s="4">
        <v>2</v>
      </c>
      <c r="G107" s="4">
        <f t="shared" si="24"/>
        <v>34</v>
      </c>
      <c r="H107" s="4">
        <f t="shared" si="35"/>
        <v>34.15625</v>
      </c>
      <c r="I107" s="14">
        <f t="shared" si="38"/>
        <v>2</v>
      </c>
      <c r="K107" s="13" t="str">
        <f t="shared" si="25"/>
        <v/>
      </c>
      <c r="L107" s="39">
        <f t="shared" si="26"/>
        <v>33482.142857142855</v>
      </c>
      <c r="M107" s="25">
        <f t="shared" si="27"/>
        <v>4.4642857142855787E-3</v>
      </c>
      <c r="N107" s="26">
        <f t="shared" si="28"/>
        <v>2.986666666666667E-2</v>
      </c>
      <c r="O107" s="27">
        <f t="shared" si="29"/>
        <v>0.625</v>
      </c>
      <c r="P107" s="4">
        <f t="shared" si="30"/>
        <v>4</v>
      </c>
      <c r="Q107" s="4">
        <f t="shared" si="31"/>
        <v>3</v>
      </c>
      <c r="R107" s="4">
        <f t="shared" si="32"/>
        <v>3</v>
      </c>
      <c r="S107" s="14">
        <f t="shared" si="33"/>
        <v>3.7333333333333334</v>
      </c>
      <c r="T107" s="32" t="str">
        <f t="shared" si="39"/>
        <v>A2A3</v>
      </c>
    </row>
    <row r="108" spans="1:20" x14ac:dyDescent="0.2">
      <c r="A108" s="5">
        <f t="shared" si="36"/>
        <v>33333.333333333336</v>
      </c>
      <c r="B108" s="5">
        <f t="shared" si="37"/>
        <v>2250</v>
      </c>
      <c r="D108" s="13">
        <v>1</v>
      </c>
      <c r="E108" s="4">
        <v>3</v>
      </c>
      <c r="F108" s="4">
        <v>3</v>
      </c>
      <c r="G108" s="4">
        <f t="shared" si="24"/>
        <v>30</v>
      </c>
      <c r="H108" s="4">
        <f t="shared" si="35"/>
        <v>30.25</v>
      </c>
      <c r="I108" s="14">
        <f t="shared" si="38"/>
        <v>2</v>
      </c>
      <c r="K108" s="13" t="str">
        <f t="shared" si="25"/>
        <v/>
      </c>
      <c r="L108" s="39">
        <f t="shared" si="26"/>
        <v>33602.150537634407</v>
      </c>
      <c r="M108" s="25">
        <f t="shared" si="27"/>
        <v>8.064516129032126E-3</v>
      </c>
      <c r="N108" s="26">
        <f t="shared" si="28"/>
        <v>2.9760000000000002E-2</v>
      </c>
      <c r="O108" s="27">
        <f t="shared" si="29"/>
        <v>0.55555555555555558</v>
      </c>
      <c r="P108" s="4">
        <f t="shared" si="30"/>
        <v>4</v>
      </c>
      <c r="Q108" s="4">
        <f t="shared" si="31"/>
        <v>4</v>
      </c>
      <c r="R108" s="4">
        <f t="shared" si="32"/>
        <v>3</v>
      </c>
      <c r="S108" s="14">
        <f t="shared" si="33"/>
        <v>3.3066666666666666</v>
      </c>
      <c r="T108" s="32" t="str">
        <f t="shared" si="39"/>
        <v>9EB3</v>
      </c>
    </row>
    <row r="109" spans="1:20" x14ac:dyDescent="0.2">
      <c r="A109" s="5">
        <f t="shared" si="36"/>
        <v>33333.333333333336</v>
      </c>
      <c r="B109" s="5">
        <f t="shared" si="37"/>
        <v>2250</v>
      </c>
      <c r="D109" s="13">
        <v>1</v>
      </c>
      <c r="E109" s="4">
        <v>3</v>
      </c>
      <c r="F109" s="4">
        <v>4</v>
      </c>
      <c r="G109" s="4">
        <f t="shared" si="24"/>
        <v>27</v>
      </c>
      <c r="H109" s="4">
        <f t="shared" si="35"/>
        <v>27.125</v>
      </c>
      <c r="I109" s="14">
        <f t="shared" si="38"/>
        <v>2</v>
      </c>
      <c r="K109" s="13" t="str">
        <f t="shared" si="25"/>
        <v/>
      </c>
      <c r="L109" s="39">
        <f t="shared" si="26"/>
        <v>33482.142857142855</v>
      </c>
      <c r="M109" s="25">
        <f t="shared" si="27"/>
        <v>4.4642857142855787E-3</v>
      </c>
      <c r="N109" s="26">
        <f t="shared" si="28"/>
        <v>2.986666666666667E-2</v>
      </c>
      <c r="O109" s="27">
        <f t="shared" si="29"/>
        <v>0.5</v>
      </c>
      <c r="P109" s="4">
        <f t="shared" si="30"/>
        <v>4</v>
      </c>
      <c r="Q109" s="4">
        <f t="shared" si="31"/>
        <v>5</v>
      </c>
      <c r="R109" s="4">
        <f t="shared" si="32"/>
        <v>3</v>
      </c>
      <c r="S109" s="14">
        <f t="shared" si="33"/>
        <v>2.9866666666666668</v>
      </c>
      <c r="T109" s="32" t="str">
        <f t="shared" si="39"/>
        <v>9BC3</v>
      </c>
    </row>
    <row r="110" spans="1:20" x14ac:dyDescent="0.2">
      <c r="A110" s="5">
        <f t="shared" si="36"/>
        <v>33333.333333333336</v>
      </c>
      <c r="B110" s="5">
        <f t="shared" si="37"/>
        <v>2250</v>
      </c>
      <c r="D110" s="13">
        <v>1</v>
      </c>
      <c r="E110" s="4">
        <v>3</v>
      </c>
      <c r="F110" s="4">
        <v>5</v>
      </c>
      <c r="G110" s="4">
        <f t="shared" si="24"/>
        <v>25</v>
      </c>
      <c r="H110" s="4">
        <f t="shared" si="35"/>
        <v>24.568181818181817</v>
      </c>
      <c r="I110" s="14">
        <f t="shared" si="38"/>
        <v>2</v>
      </c>
      <c r="K110" s="13" t="str">
        <f t="shared" si="25"/>
        <v/>
      </c>
      <c r="L110" s="39">
        <f t="shared" si="26"/>
        <v>32779.720279720277</v>
      </c>
      <c r="M110" s="25">
        <f t="shared" si="27"/>
        <v>1.6608391608391757E-2</v>
      </c>
      <c r="N110" s="26">
        <f t="shared" si="28"/>
        <v>3.0506666666666668E-2</v>
      </c>
      <c r="O110" s="27">
        <f t="shared" si="29"/>
        <v>0.45454545454545453</v>
      </c>
      <c r="P110" s="4">
        <f t="shared" si="30"/>
        <v>4</v>
      </c>
      <c r="Q110" s="4">
        <f t="shared" si="31"/>
        <v>6</v>
      </c>
      <c r="R110" s="4">
        <f t="shared" si="32"/>
        <v>3</v>
      </c>
      <c r="S110" s="14">
        <f t="shared" si="33"/>
        <v>2.7733333333333334</v>
      </c>
      <c r="T110" s="32" t="str">
        <f t="shared" si="39"/>
        <v>99D3</v>
      </c>
    </row>
    <row r="111" spans="1:20" x14ac:dyDescent="0.2">
      <c r="A111" s="5">
        <f t="shared" si="36"/>
        <v>33333.333333333336</v>
      </c>
      <c r="B111" s="5">
        <f t="shared" si="37"/>
        <v>2250</v>
      </c>
      <c r="D111" s="13">
        <v>1</v>
      </c>
      <c r="E111" s="4">
        <v>3</v>
      </c>
      <c r="F111" s="4">
        <v>6</v>
      </c>
      <c r="G111" s="4">
        <f t="shared" si="24"/>
        <v>22</v>
      </c>
      <c r="H111" s="4">
        <f t="shared" si="35"/>
        <v>22.4375</v>
      </c>
      <c r="I111" s="14">
        <f t="shared" si="38"/>
        <v>2</v>
      </c>
      <c r="K111" s="13" t="str">
        <f t="shared" si="25"/>
        <v/>
      </c>
      <c r="L111" s="39">
        <f t="shared" si="26"/>
        <v>33967.391304347824</v>
      </c>
      <c r="M111" s="25">
        <f t="shared" si="27"/>
        <v>1.9021739130434652E-2</v>
      </c>
      <c r="N111" s="26">
        <f t="shared" si="28"/>
        <v>2.9440000000000001E-2</v>
      </c>
      <c r="O111" s="27">
        <f t="shared" si="29"/>
        <v>0.41666666666666669</v>
      </c>
      <c r="P111" s="4">
        <f t="shared" si="30"/>
        <v>4</v>
      </c>
      <c r="Q111" s="4">
        <f t="shared" si="31"/>
        <v>7</v>
      </c>
      <c r="R111" s="4">
        <f t="shared" si="32"/>
        <v>3</v>
      </c>
      <c r="S111" s="14">
        <f t="shared" si="33"/>
        <v>2.4533333333333331</v>
      </c>
      <c r="T111" s="32" t="str">
        <f t="shared" si="39"/>
        <v>96E3</v>
      </c>
    </row>
    <row r="112" spans="1:20" x14ac:dyDescent="0.2">
      <c r="A112" s="5">
        <f t="shared" si="36"/>
        <v>33333.333333333336</v>
      </c>
      <c r="B112" s="5">
        <f t="shared" si="37"/>
        <v>2250</v>
      </c>
      <c r="D112" s="13">
        <v>1</v>
      </c>
      <c r="E112" s="4">
        <v>3</v>
      </c>
      <c r="F112" s="4">
        <v>7</v>
      </c>
      <c r="G112" s="4">
        <f t="shared" si="24"/>
        <v>21</v>
      </c>
      <c r="H112" s="4">
        <f t="shared" si="35"/>
        <v>20.634615384615383</v>
      </c>
      <c r="I112" s="14">
        <f t="shared" si="38"/>
        <v>2</v>
      </c>
      <c r="K112" s="13" t="str">
        <f t="shared" si="25"/>
        <v/>
      </c>
      <c r="L112" s="39">
        <f t="shared" si="26"/>
        <v>32779.720279720277</v>
      </c>
      <c r="M112" s="25">
        <f t="shared" si="27"/>
        <v>1.6608391608391757E-2</v>
      </c>
      <c r="N112" s="26">
        <f t="shared" si="28"/>
        <v>3.0506666666666668E-2</v>
      </c>
      <c r="O112" s="27">
        <f t="shared" si="29"/>
        <v>0.38461538461538464</v>
      </c>
      <c r="P112" s="4">
        <f t="shared" si="30"/>
        <v>4</v>
      </c>
      <c r="Q112" s="4">
        <f t="shared" si="31"/>
        <v>8</v>
      </c>
      <c r="R112" s="4">
        <f t="shared" si="32"/>
        <v>3</v>
      </c>
      <c r="S112" s="14">
        <f t="shared" si="33"/>
        <v>2.3466666666666667</v>
      </c>
      <c r="T112" s="32" t="str">
        <f t="shared" si="39"/>
        <v>95F3</v>
      </c>
    </row>
    <row r="113" spans="1:20" x14ac:dyDescent="0.2">
      <c r="A113" s="5">
        <f t="shared" si="36"/>
        <v>33333.333333333336</v>
      </c>
      <c r="B113" s="5">
        <f t="shared" si="37"/>
        <v>2250</v>
      </c>
      <c r="D113" s="13">
        <v>1</v>
      </c>
      <c r="E113" s="4">
        <v>4</v>
      </c>
      <c r="F113" s="4">
        <v>1</v>
      </c>
      <c r="G113" s="4">
        <f t="shared" si="24"/>
        <v>34</v>
      </c>
      <c r="H113" s="4">
        <f t="shared" si="35"/>
        <v>34.15625</v>
      </c>
      <c r="I113" s="14">
        <f t="shared" si="38"/>
        <v>1</v>
      </c>
      <c r="K113" s="13" t="str">
        <f t="shared" si="25"/>
        <v/>
      </c>
      <c r="L113" s="39">
        <f t="shared" si="26"/>
        <v>33482.142857142855</v>
      </c>
      <c r="M113" s="25">
        <f t="shared" si="27"/>
        <v>4.4642857142855787E-3</v>
      </c>
      <c r="N113" s="26">
        <f t="shared" si="28"/>
        <v>2.986666666666667E-2</v>
      </c>
      <c r="O113" s="27">
        <f t="shared" si="29"/>
        <v>0.75</v>
      </c>
      <c r="P113" s="4">
        <f t="shared" si="30"/>
        <v>5</v>
      </c>
      <c r="Q113" s="4">
        <f t="shared" si="31"/>
        <v>2</v>
      </c>
      <c r="R113" s="4">
        <f t="shared" si="32"/>
        <v>2</v>
      </c>
      <c r="S113" s="14">
        <f t="shared" si="33"/>
        <v>3.7333333333333334</v>
      </c>
      <c r="T113" s="32" t="str">
        <f t="shared" si="39"/>
        <v>6294</v>
      </c>
    </row>
    <row r="114" spans="1:20" x14ac:dyDescent="0.2">
      <c r="A114" s="5">
        <f t="shared" si="36"/>
        <v>33333.333333333336</v>
      </c>
      <c r="B114" s="5">
        <f t="shared" si="37"/>
        <v>2250</v>
      </c>
      <c r="D114" s="13">
        <v>1</v>
      </c>
      <c r="E114" s="4">
        <v>4</v>
      </c>
      <c r="F114" s="4">
        <v>2</v>
      </c>
      <c r="G114" s="4">
        <f t="shared" si="24"/>
        <v>30</v>
      </c>
      <c r="H114" s="4">
        <f t="shared" si="35"/>
        <v>30.25</v>
      </c>
      <c r="I114" s="14">
        <f t="shared" si="38"/>
        <v>2</v>
      </c>
      <c r="K114" s="13" t="str">
        <f t="shared" si="25"/>
        <v/>
      </c>
      <c r="L114" s="39">
        <f t="shared" si="26"/>
        <v>33602.150537634407</v>
      </c>
      <c r="M114" s="25">
        <f t="shared" si="27"/>
        <v>8.064516129032126E-3</v>
      </c>
      <c r="N114" s="26">
        <f t="shared" si="28"/>
        <v>2.9760000000000002E-2</v>
      </c>
      <c r="O114" s="27">
        <f t="shared" si="29"/>
        <v>0.66666666666666663</v>
      </c>
      <c r="P114" s="4">
        <f t="shared" si="30"/>
        <v>5</v>
      </c>
      <c r="Q114" s="4">
        <f t="shared" si="31"/>
        <v>3</v>
      </c>
      <c r="R114" s="4">
        <f t="shared" si="32"/>
        <v>3</v>
      </c>
      <c r="S114" s="14">
        <f t="shared" si="33"/>
        <v>3.3066666666666666</v>
      </c>
      <c r="T114" s="32" t="str">
        <f t="shared" si="39"/>
        <v>9EA4</v>
      </c>
    </row>
    <row r="115" spans="1:20" x14ac:dyDescent="0.2">
      <c r="A115" s="5">
        <f t="shared" si="36"/>
        <v>33333.333333333336</v>
      </c>
      <c r="B115" s="5">
        <f t="shared" si="37"/>
        <v>2250</v>
      </c>
      <c r="D115" s="13">
        <v>1</v>
      </c>
      <c r="E115" s="4">
        <v>4</v>
      </c>
      <c r="F115" s="4">
        <v>3</v>
      </c>
      <c r="G115" s="4">
        <f t="shared" si="24"/>
        <v>27</v>
      </c>
      <c r="H115" s="4">
        <f t="shared" si="35"/>
        <v>27.125</v>
      </c>
      <c r="I115" s="14">
        <f t="shared" si="38"/>
        <v>3</v>
      </c>
      <c r="K115" s="13" t="str">
        <f t="shared" si="25"/>
        <v/>
      </c>
      <c r="L115" s="39">
        <f t="shared" si="26"/>
        <v>33482.142857142855</v>
      </c>
      <c r="M115" s="25">
        <f t="shared" si="27"/>
        <v>4.4642857142855787E-3</v>
      </c>
      <c r="N115" s="26">
        <f t="shared" si="28"/>
        <v>2.986666666666667E-2</v>
      </c>
      <c r="O115" s="27">
        <f t="shared" si="29"/>
        <v>0.6</v>
      </c>
      <c r="P115" s="4">
        <f t="shared" si="30"/>
        <v>5</v>
      </c>
      <c r="Q115" s="4">
        <f t="shared" si="31"/>
        <v>4</v>
      </c>
      <c r="R115" s="4">
        <f t="shared" si="32"/>
        <v>4</v>
      </c>
      <c r="S115" s="14">
        <f t="shared" si="33"/>
        <v>2.9866666666666668</v>
      </c>
      <c r="T115" s="32" t="str">
        <f t="shared" si="39"/>
        <v>DBB4</v>
      </c>
    </row>
    <row r="116" spans="1:20" x14ac:dyDescent="0.2">
      <c r="A116" s="5">
        <f t="shared" si="36"/>
        <v>33333.333333333336</v>
      </c>
      <c r="B116" s="5">
        <f t="shared" si="37"/>
        <v>2250</v>
      </c>
      <c r="D116" s="13">
        <v>1</v>
      </c>
      <c r="E116" s="4">
        <v>4</v>
      </c>
      <c r="F116" s="4">
        <v>4</v>
      </c>
      <c r="G116" s="4">
        <f t="shared" si="24"/>
        <v>25</v>
      </c>
      <c r="H116" s="4">
        <f t="shared" si="35"/>
        <v>24.568181818181817</v>
      </c>
      <c r="I116" s="14">
        <f t="shared" si="38"/>
        <v>3</v>
      </c>
      <c r="K116" s="13" t="str">
        <f t="shared" si="25"/>
        <v/>
      </c>
      <c r="L116" s="39">
        <f t="shared" si="26"/>
        <v>32779.720279720277</v>
      </c>
      <c r="M116" s="25">
        <f t="shared" si="27"/>
        <v>1.6608391608391757E-2</v>
      </c>
      <c r="N116" s="26">
        <f t="shared" si="28"/>
        <v>3.0506666666666668E-2</v>
      </c>
      <c r="O116" s="27">
        <f t="shared" si="29"/>
        <v>0.54545454545454541</v>
      </c>
      <c r="P116" s="4">
        <f t="shared" si="30"/>
        <v>5</v>
      </c>
      <c r="Q116" s="4">
        <f t="shared" si="31"/>
        <v>5</v>
      </c>
      <c r="R116" s="4">
        <f t="shared" si="32"/>
        <v>4</v>
      </c>
      <c r="S116" s="14">
        <f t="shared" si="33"/>
        <v>2.7733333333333334</v>
      </c>
      <c r="T116" s="32" t="str">
        <f t="shared" si="39"/>
        <v>D9C4</v>
      </c>
    </row>
    <row r="117" spans="1:20" x14ac:dyDescent="0.2">
      <c r="A117" s="5">
        <f t="shared" si="36"/>
        <v>33333.333333333336</v>
      </c>
      <c r="B117" s="5">
        <f t="shared" si="37"/>
        <v>2250</v>
      </c>
      <c r="D117" s="13">
        <v>1</v>
      </c>
      <c r="E117" s="4">
        <v>4</v>
      </c>
      <c r="F117" s="4">
        <v>5</v>
      </c>
      <c r="G117" s="4">
        <f t="shared" si="24"/>
        <v>22</v>
      </c>
      <c r="H117" s="4">
        <f t="shared" si="35"/>
        <v>22.4375</v>
      </c>
      <c r="I117" s="14">
        <f t="shared" si="38"/>
        <v>3</v>
      </c>
      <c r="K117" s="13" t="str">
        <f t="shared" si="25"/>
        <v/>
      </c>
      <c r="L117" s="39">
        <f t="shared" si="26"/>
        <v>33967.391304347824</v>
      </c>
      <c r="M117" s="25">
        <f t="shared" si="27"/>
        <v>1.9021739130434652E-2</v>
      </c>
      <c r="N117" s="26">
        <f t="shared" si="28"/>
        <v>2.9440000000000001E-2</v>
      </c>
      <c r="O117" s="27">
        <f t="shared" si="29"/>
        <v>0.5</v>
      </c>
      <c r="P117" s="4">
        <f t="shared" si="30"/>
        <v>5</v>
      </c>
      <c r="Q117" s="4">
        <f t="shared" si="31"/>
        <v>6</v>
      </c>
      <c r="R117" s="4">
        <f t="shared" si="32"/>
        <v>4</v>
      </c>
      <c r="S117" s="14">
        <f t="shared" si="33"/>
        <v>2.4533333333333331</v>
      </c>
      <c r="T117" s="32" t="str">
        <f t="shared" si="39"/>
        <v>D6D4</v>
      </c>
    </row>
    <row r="118" spans="1:20" x14ac:dyDescent="0.2">
      <c r="A118" s="5">
        <f t="shared" si="36"/>
        <v>33333.333333333336</v>
      </c>
      <c r="B118" s="5">
        <f t="shared" si="37"/>
        <v>2250</v>
      </c>
      <c r="D118" s="13">
        <v>1</v>
      </c>
      <c r="E118" s="4">
        <v>4</v>
      </c>
      <c r="F118" s="4">
        <v>6</v>
      </c>
      <c r="G118" s="4">
        <f t="shared" si="24"/>
        <v>21</v>
      </c>
      <c r="H118" s="4">
        <f t="shared" si="35"/>
        <v>20.634615384615383</v>
      </c>
      <c r="I118" s="14">
        <f t="shared" si="38"/>
        <v>3</v>
      </c>
      <c r="K118" s="13" t="str">
        <f t="shared" si="25"/>
        <v/>
      </c>
      <c r="L118" s="39">
        <f t="shared" si="26"/>
        <v>32779.720279720277</v>
      </c>
      <c r="M118" s="25">
        <f t="shared" si="27"/>
        <v>1.6608391608391757E-2</v>
      </c>
      <c r="N118" s="26">
        <f t="shared" si="28"/>
        <v>3.0506666666666668E-2</v>
      </c>
      <c r="O118" s="27">
        <f t="shared" si="29"/>
        <v>0.46153846153846156</v>
      </c>
      <c r="P118" s="4">
        <f t="shared" si="30"/>
        <v>5</v>
      </c>
      <c r="Q118" s="4">
        <f t="shared" si="31"/>
        <v>7</v>
      </c>
      <c r="R118" s="4">
        <f t="shared" si="32"/>
        <v>4</v>
      </c>
      <c r="S118" s="14">
        <f t="shared" si="33"/>
        <v>2.3466666666666667</v>
      </c>
      <c r="T118" s="32" t="str">
        <f t="shared" si="39"/>
        <v>D5E4</v>
      </c>
    </row>
    <row r="119" spans="1:20" x14ac:dyDescent="0.2">
      <c r="A119" s="5">
        <f t="shared" si="36"/>
        <v>33333.333333333336</v>
      </c>
      <c r="B119" s="5">
        <f t="shared" si="37"/>
        <v>2250</v>
      </c>
      <c r="D119" s="13">
        <v>1</v>
      </c>
      <c r="E119" s="4">
        <v>4</v>
      </c>
      <c r="F119" s="4">
        <v>7</v>
      </c>
      <c r="G119" s="4">
        <f t="shared" si="24"/>
        <v>19</v>
      </c>
      <c r="H119" s="4">
        <f t="shared" si="35"/>
        <v>19.089285714285715</v>
      </c>
      <c r="I119" s="14">
        <f t="shared" si="38"/>
        <v>3</v>
      </c>
      <c r="K119" s="13" t="str">
        <f t="shared" si="25"/>
        <v/>
      </c>
      <c r="L119" s="39">
        <f t="shared" si="26"/>
        <v>33482.142857142855</v>
      </c>
      <c r="M119" s="25">
        <f t="shared" si="27"/>
        <v>4.4642857142855787E-3</v>
      </c>
      <c r="N119" s="26">
        <f t="shared" si="28"/>
        <v>2.986666666666667E-2</v>
      </c>
      <c r="O119" s="27">
        <f t="shared" si="29"/>
        <v>0.42857142857142855</v>
      </c>
      <c r="P119" s="4">
        <f t="shared" si="30"/>
        <v>5</v>
      </c>
      <c r="Q119" s="4">
        <f t="shared" si="31"/>
        <v>8</v>
      </c>
      <c r="R119" s="4">
        <f t="shared" si="32"/>
        <v>4</v>
      </c>
      <c r="S119" s="14">
        <f t="shared" si="33"/>
        <v>2.1333333333333333</v>
      </c>
      <c r="T119" s="32" t="str">
        <f t="shared" si="39"/>
        <v>D3F4</v>
      </c>
    </row>
    <row r="120" spans="1:20" x14ac:dyDescent="0.2">
      <c r="A120" s="5">
        <f t="shared" si="36"/>
        <v>33333.333333333336</v>
      </c>
      <c r="B120" s="5">
        <f t="shared" si="37"/>
        <v>2250</v>
      </c>
      <c r="D120" s="13">
        <v>1</v>
      </c>
      <c r="E120" s="4">
        <v>5</v>
      </c>
      <c r="F120" s="4">
        <v>1</v>
      </c>
      <c r="G120" s="4">
        <f t="shared" si="24"/>
        <v>30</v>
      </c>
      <c r="H120" s="4">
        <f t="shared" si="35"/>
        <v>30.25</v>
      </c>
      <c r="I120" s="14">
        <f t="shared" si="38"/>
        <v>1</v>
      </c>
      <c r="K120" s="13" t="str">
        <f t="shared" si="25"/>
        <v/>
      </c>
      <c r="L120" s="39">
        <f t="shared" si="26"/>
        <v>33602.150537634407</v>
      </c>
      <c r="M120" s="25">
        <f t="shared" si="27"/>
        <v>8.064516129032126E-3</v>
      </c>
      <c r="N120" s="26">
        <f t="shared" si="28"/>
        <v>2.9760000000000002E-2</v>
      </c>
      <c r="O120" s="27">
        <f t="shared" si="29"/>
        <v>0.77777777777777779</v>
      </c>
      <c r="P120" s="4">
        <f t="shared" si="30"/>
        <v>6</v>
      </c>
      <c r="Q120" s="4">
        <f t="shared" si="31"/>
        <v>2</v>
      </c>
      <c r="R120" s="4">
        <f t="shared" si="32"/>
        <v>2</v>
      </c>
      <c r="S120" s="14">
        <f t="shared" si="33"/>
        <v>3.3066666666666666</v>
      </c>
      <c r="T120" s="32" t="str">
        <f t="shared" si="39"/>
        <v>5E95</v>
      </c>
    </row>
    <row r="121" spans="1:20" x14ac:dyDescent="0.2">
      <c r="A121" s="5">
        <f t="shared" si="36"/>
        <v>33333.333333333336</v>
      </c>
      <c r="B121" s="5">
        <f t="shared" si="37"/>
        <v>2250</v>
      </c>
      <c r="D121" s="13">
        <v>1</v>
      </c>
      <c r="E121" s="4">
        <v>5</v>
      </c>
      <c r="F121" s="4">
        <v>2</v>
      </c>
      <c r="G121" s="4">
        <f t="shared" si="24"/>
        <v>27</v>
      </c>
      <c r="H121" s="4">
        <f t="shared" si="35"/>
        <v>27.125</v>
      </c>
      <c r="I121" s="14">
        <f t="shared" si="38"/>
        <v>2</v>
      </c>
      <c r="K121" s="13" t="str">
        <f t="shared" si="25"/>
        <v/>
      </c>
      <c r="L121" s="39">
        <f t="shared" si="26"/>
        <v>33482.142857142855</v>
      </c>
      <c r="M121" s="25">
        <f t="shared" si="27"/>
        <v>4.4642857142855787E-3</v>
      </c>
      <c r="N121" s="26">
        <f t="shared" si="28"/>
        <v>2.986666666666667E-2</v>
      </c>
      <c r="O121" s="27">
        <f t="shared" si="29"/>
        <v>0.7</v>
      </c>
      <c r="P121" s="4">
        <f t="shared" si="30"/>
        <v>6</v>
      </c>
      <c r="Q121" s="4">
        <f t="shared" si="31"/>
        <v>3</v>
      </c>
      <c r="R121" s="4">
        <f t="shared" si="32"/>
        <v>3</v>
      </c>
      <c r="S121" s="14">
        <f t="shared" si="33"/>
        <v>2.9866666666666668</v>
      </c>
      <c r="T121" s="32" t="str">
        <f t="shared" si="39"/>
        <v>9BA5</v>
      </c>
    </row>
    <row r="122" spans="1:20" x14ac:dyDescent="0.2">
      <c r="A122" s="5">
        <f t="shared" si="36"/>
        <v>33333.333333333336</v>
      </c>
      <c r="B122" s="5">
        <f t="shared" si="37"/>
        <v>2250</v>
      </c>
      <c r="D122" s="13">
        <v>1</v>
      </c>
      <c r="E122" s="4">
        <v>5</v>
      </c>
      <c r="F122" s="4">
        <v>3</v>
      </c>
      <c r="G122" s="4">
        <f t="shared" si="24"/>
        <v>25</v>
      </c>
      <c r="H122" s="4">
        <f t="shared" si="35"/>
        <v>24.568181818181817</v>
      </c>
      <c r="I122" s="14">
        <f t="shared" si="38"/>
        <v>3</v>
      </c>
      <c r="K122" s="13" t="str">
        <f t="shared" si="25"/>
        <v/>
      </c>
      <c r="L122" s="39">
        <f t="shared" si="26"/>
        <v>32779.720279720277</v>
      </c>
      <c r="M122" s="25">
        <f t="shared" si="27"/>
        <v>1.6608391608391757E-2</v>
      </c>
      <c r="N122" s="26">
        <f t="shared" si="28"/>
        <v>3.0506666666666668E-2</v>
      </c>
      <c r="O122" s="27">
        <f t="shared" si="29"/>
        <v>0.63636363636363635</v>
      </c>
      <c r="P122" s="4">
        <f t="shared" si="30"/>
        <v>6</v>
      </c>
      <c r="Q122" s="4">
        <f t="shared" si="31"/>
        <v>4</v>
      </c>
      <c r="R122" s="4">
        <f t="shared" si="32"/>
        <v>4</v>
      </c>
      <c r="S122" s="14">
        <f t="shared" si="33"/>
        <v>2.7733333333333334</v>
      </c>
      <c r="T122" s="32" t="str">
        <f t="shared" si="39"/>
        <v>D9B5</v>
      </c>
    </row>
    <row r="123" spans="1:20" x14ac:dyDescent="0.2">
      <c r="A123" s="5">
        <f t="shared" si="36"/>
        <v>33333.333333333336</v>
      </c>
      <c r="B123" s="5">
        <f t="shared" si="37"/>
        <v>2250</v>
      </c>
      <c r="D123" s="13">
        <v>1</v>
      </c>
      <c r="E123" s="4">
        <v>5</v>
      </c>
      <c r="F123" s="4">
        <v>4</v>
      </c>
      <c r="G123" s="4">
        <f t="shared" si="24"/>
        <v>22</v>
      </c>
      <c r="H123" s="4">
        <f t="shared" si="35"/>
        <v>22.4375</v>
      </c>
      <c r="I123" s="14">
        <f t="shared" si="38"/>
        <v>3</v>
      </c>
      <c r="K123" s="13" t="str">
        <f t="shared" si="25"/>
        <v/>
      </c>
      <c r="L123" s="39">
        <f t="shared" si="26"/>
        <v>33967.391304347824</v>
      </c>
      <c r="M123" s="25">
        <f t="shared" si="27"/>
        <v>1.9021739130434652E-2</v>
      </c>
      <c r="N123" s="26">
        <f t="shared" si="28"/>
        <v>2.9440000000000001E-2</v>
      </c>
      <c r="O123" s="27">
        <f t="shared" si="29"/>
        <v>0.58333333333333337</v>
      </c>
      <c r="P123" s="4">
        <f t="shared" si="30"/>
        <v>6</v>
      </c>
      <c r="Q123" s="4">
        <f t="shared" si="31"/>
        <v>5</v>
      </c>
      <c r="R123" s="4">
        <f t="shared" si="32"/>
        <v>4</v>
      </c>
      <c r="S123" s="14">
        <f t="shared" si="33"/>
        <v>2.4533333333333331</v>
      </c>
      <c r="T123" s="32" t="str">
        <f t="shared" si="39"/>
        <v>D6C5</v>
      </c>
    </row>
    <row r="124" spans="1:20" x14ac:dyDescent="0.2">
      <c r="A124" s="5">
        <f t="shared" si="36"/>
        <v>33333.333333333336</v>
      </c>
      <c r="B124" s="5">
        <f t="shared" si="37"/>
        <v>2250</v>
      </c>
      <c r="D124" s="13">
        <v>1</v>
      </c>
      <c r="E124" s="4">
        <v>5</v>
      </c>
      <c r="F124" s="4">
        <v>5</v>
      </c>
      <c r="G124" s="4">
        <f t="shared" si="24"/>
        <v>21</v>
      </c>
      <c r="H124" s="4">
        <f t="shared" si="35"/>
        <v>20.634615384615383</v>
      </c>
      <c r="I124" s="14">
        <f t="shared" si="38"/>
        <v>3</v>
      </c>
      <c r="K124" s="13" t="str">
        <f t="shared" si="25"/>
        <v/>
      </c>
      <c r="L124" s="39">
        <f t="shared" si="26"/>
        <v>32779.720279720277</v>
      </c>
      <c r="M124" s="25">
        <f t="shared" si="27"/>
        <v>1.6608391608391757E-2</v>
      </c>
      <c r="N124" s="26">
        <f t="shared" si="28"/>
        <v>3.0506666666666668E-2</v>
      </c>
      <c r="O124" s="27">
        <f t="shared" si="29"/>
        <v>0.53846153846153844</v>
      </c>
      <c r="P124" s="4">
        <f t="shared" si="30"/>
        <v>6</v>
      </c>
      <c r="Q124" s="4">
        <f t="shared" si="31"/>
        <v>6</v>
      </c>
      <c r="R124" s="4">
        <f t="shared" si="32"/>
        <v>4</v>
      </c>
      <c r="S124" s="14">
        <f t="shared" si="33"/>
        <v>2.3466666666666667</v>
      </c>
      <c r="T124" s="32" t="str">
        <f t="shared" si="39"/>
        <v>D5D5</v>
      </c>
    </row>
    <row r="125" spans="1:20" x14ac:dyDescent="0.2">
      <c r="A125" s="5">
        <f t="shared" si="36"/>
        <v>33333.333333333336</v>
      </c>
      <c r="B125" s="5">
        <f t="shared" si="37"/>
        <v>2250</v>
      </c>
      <c r="D125" s="13">
        <v>1</v>
      </c>
      <c r="E125" s="4">
        <v>5</v>
      </c>
      <c r="F125" s="4">
        <v>6</v>
      </c>
      <c r="G125" s="4">
        <f t="shared" si="24"/>
        <v>19</v>
      </c>
      <c r="H125" s="4">
        <f t="shared" si="35"/>
        <v>19.089285714285715</v>
      </c>
      <c r="I125" s="14">
        <f t="shared" si="38"/>
        <v>3</v>
      </c>
      <c r="K125" s="13" t="str">
        <f t="shared" si="25"/>
        <v/>
      </c>
      <c r="L125" s="59">
        <f t="shared" si="26"/>
        <v>33482.142857142855</v>
      </c>
      <c r="M125" s="60">
        <f t="shared" si="27"/>
        <v>4.4642857142855787E-3</v>
      </c>
      <c r="N125" s="61">
        <f t="shared" si="28"/>
        <v>2.986666666666667E-2</v>
      </c>
      <c r="O125" s="62">
        <f t="shared" si="29"/>
        <v>0.5</v>
      </c>
      <c r="P125" s="63">
        <f t="shared" si="30"/>
        <v>6</v>
      </c>
      <c r="Q125" s="63">
        <f t="shared" si="31"/>
        <v>7</v>
      </c>
      <c r="R125" s="63">
        <f t="shared" si="32"/>
        <v>4</v>
      </c>
      <c r="S125" s="64">
        <f t="shared" si="33"/>
        <v>2.1333333333333333</v>
      </c>
      <c r="T125" s="65" t="str">
        <f t="shared" si="39"/>
        <v>D3E5</v>
      </c>
    </row>
    <row r="126" spans="1:20" x14ac:dyDescent="0.2">
      <c r="A126" s="5">
        <f t="shared" si="36"/>
        <v>33333.333333333336</v>
      </c>
      <c r="B126" s="5">
        <f t="shared" si="37"/>
        <v>2250</v>
      </c>
      <c r="D126" s="13">
        <v>1</v>
      </c>
      <c r="E126" s="4">
        <v>5</v>
      </c>
      <c r="F126" s="4">
        <v>7</v>
      </c>
      <c r="G126" s="4">
        <f t="shared" si="24"/>
        <v>18</v>
      </c>
      <c r="H126" s="4">
        <f t="shared" si="35"/>
        <v>17.75</v>
      </c>
      <c r="I126" s="14">
        <f t="shared" si="38"/>
        <v>3</v>
      </c>
      <c r="K126" s="13" t="str">
        <f t="shared" si="25"/>
        <v/>
      </c>
      <c r="L126" s="39">
        <f t="shared" si="26"/>
        <v>32894.73684210526</v>
      </c>
      <c r="M126" s="25">
        <f t="shared" si="27"/>
        <v>1.315789473684228E-2</v>
      </c>
      <c r="N126" s="26">
        <f t="shared" si="28"/>
        <v>3.0400000000000003E-2</v>
      </c>
      <c r="O126" s="27">
        <f t="shared" si="29"/>
        <v>0.46666666666666667</v>
      </c>
      <c r="P126" s="4">
        <f t="shared" si="30"/>
        <v>6</v>
      </c>
      <c r="Q126" s="4">
        <f t="shared" si="31"/>
        <v>8</v>
      </c>
      <c r="R126" s="4">
        <f t="shared" si="32"/>
        <v>4</v>
      </c>
      <c r="S126" s="14">
        <f t="shared" si="33"/>
        <v>2.0266666666666668</v>
      </c>
      <c r="T126" s="32" t="str">
        <f t="shared" si="39"/>
        <v>D2F5</v>
      </c>
    </row>
    <row r="127" spans="1:20" x14ac:dyDescent="0.2">
      <c r="A127" s="5">
        <f t="shared" si="36"/>
        <v>33333.333333333336</v>
      </c>
      <c r="B127" s="5">
        <f t="shared" si="37"/>
        <v>2250</v>
      </c>
      <c r="D127" s="13">
        <v>1</v>
      </c>
      <c r="E127" s="4">
        <v>6</v>
      </c>
      <c r="F127" s="4">
        <v>1</v>
      </c>
      <c r="G127" s="4">
        <f t="shared" si="24"/>
        <v>27</v>
      </c>
      <c r="H127" s="4">
        <f t="shared" si="35"/>
        <v>27.125</v>
      </c>
      <c r="I127" s="14">
        <f t="shared" si="38"/>
        <v>1</v>
      </c>
      <c r="K127" s="13" t="str">
        <f t="shared" si="25"/>
        <v/>
      </c>
      <c r="L127" s="39">
        <f t="shared" si="26"/>
        <v>33482.142857142855</v>
      </c>
      <c r="M127" s="25">
        <f t="shared" si="27"/>
        <v>4.4642857142855787E-3</v>
      </c>
      <c r="N127" s="26">
        <f t="shared" si="28"/>
        <v>2.986666666666667E-2</v>
      </c>
      <c r="O127" s="27">
        <f t="shared" si="29"/>
        <v>0.8</v>
      </c>
      <c r="P127" s="4">
        <f t="shared" si="30"/>
        <v>7</v>
      </c>
      <c r="Q127" s="4">
        <f t="shared" si="31"/>
        <v>2</v>
      </c>
      <c r="R127" s="4">
        <f t="shared" si="32"/>
        <v>2</v>
      </c>
      <c r="S127" s="14">
        <f t="shared" si="33"/>
        <v>2.9866666666666668</v>
      </c>
      <c r="T127" s="32" t="str">
        <f t="shared" si="39"/>
        <v>5B96</v>
      </c>
    </row>
    <row r="128" spans="1:20" x14ac:dyDescent="0.2">
      <c r="A128" s="5">
        <f t="shared" si="36"/>
        <v>33333.333333333336</v>
      </c>
      <c r="B128" s="5">
        <f t="shared" si="37"/>
        <v>2250</v>
      </c>
      <c r="D128" s="13">
        <v>1</v>
      </c>
      <c r="E128" s="4">
        <v>6</v>
      </c>
      <c r="F128" s="4">
        <v>2</v>
      </c>
      <c r="G128" s="4">
        <f t="shared" si="24"/>
        <v>25</v>
      </c>
      <c r="H128" s="4">
        <f t="shared" si="35"/>
        <v>24.568181818181817</v>
      </c>
      <c r="I128" s="14">
        <f t="shared" si="38"/>
        <v>2</v>
      </c>
      <c r="K128" s="13" t="str">
        <f t="shared" si="25"/>
        <v/>
      </c>
      <c r="L128" s="39">
        <f t="shared" si="26"/>
        <v>32779.720279720277</v>
      </c>
      <c r="M128" s="25">
        <f t="shared" si="27"/>
        <v>1.6608391608391757E-2</v>
      </c>
      <c r="N128" s="26">
        <f t="shared" si="28"/>
        <v>3.0506666666666668E-2</v>
      </c>
      <c r="O128" s="27">
        <f t="shared" si="29"/>
        <v>0.72727272727272729</v>
      </c>
      <c r="P128" s="4">
        <f t="shared" si="30"/>
        <v>7</v>
      </c>
      <c r="Q128" s="4">
        <f t="shared" si="31"/>
        <v>3</v>
      </c>
      <c r="R128" s="4">
        <f t="shared" si="32"/>
        <v>3</v>
      </c>
      <c r="S128" s="14">
        <f t="shared" si="33"/>
        <v>2.7733333333333334</v>
      </c>
      <c r="T128" s="32" t="str">
        <f t="shared" si="39"/>
        <v>99A6</v>
      </c>
    </row>
    <row r="129" spans="1:20" x14ac:dyDescent="0.2">
      <c r="A129" s="5">
        <f t="shared" si="36"/>
        <v>33333.333333333336</v>
      </c>
      <c r="B129" s="5">
        <f t="shared" si="37"/>
        <v>2250</v>
      </c>
      <c r="D129" s="13">
        <v>1</v>
      </c>
      <c r="E129" s="4">
        <v>6</v>
      </c>
      <c r="F129" s="4">
        <v>3</v>
      </c>
      <c r="G129" s="4">
        <f t="shared" si="24"/>
        <v>22</v>
      </c>
      <c r="H129" s="4">
        <f t="shared" si="35"/>
        <v>22.4375</v>
      </c>
      <c r="I129" s="14">
        <f t="shared" si="38"/>
        <v>3</v>
      </c>
      <c r="K129" s="13" t="str">
        <f t="shared" si="25"/>
        <v/>
      </c>
      <c r="L129" s="39">
        <f t="shared" si="26"/>
        <v>33967.391304347824</v>
      </c>
      <c r="M129" s="25">
        <f t="shared" si="27"/>
        <v>1.9021739130434652E-2</v>
      </c>
      <c r="N129" s="26">
        <f t="shared" si="28"/>
        <v>2.9440000000000001E-2</v>
      </c>
      <c r="O129" s="27">
        <f t="shared" si="29"/>
        <v>0.66666666666666663</v>
      </c>
      <c r="P129" s="4">
        <f t="shared" si="30"/>
        <v>7</v>
      </c>
      <c r="Q129" s="4">
        <f t="shared" si="31"/>
        <v>4</v>
      </c>
      <c r="R129" s="4">
        <f t="shared" si="32"/>
        <v>4</v>
      </c>
      <c r="S129" s="14">
        <f t="shared" si="33"/>
        <v>2.4533333333333331</v>
      </c>
      <c r="T129" s="32" t="str">
        <f t="shared" si="39"/>
        <v>D6B6</v>
      </c>
    </row>
    <row r="130" spans="1:20" x14ac:dyDescent="0.2">
      <c r="A130" s="5">
        <f t="shared" si="36"/>
        <v>33333.333333333336</v>
      </c>
      <c r="B130" s="5">
        <f t="shared" si="37"/>
        <v>2250</v>
      </c>
      <c r="D130" s="13">
        <v>1</v>
      </c>
      <c r="E130" s="4">
        <v>6</v>
      </c>
      <c r="F130" s="4">
        <v>4</v>
      </c>
      <c r="G130" s="4">
        <f t="shared" si="24"/>
        <v>21</v>
      </c>
      <c r="H130" s="4">
        <f t="shared" si="35"/>
        <v>20.634615384615383</v>
      </c>
      <c r="I130" s="14">
        <f t="shared" si="38"/>
        <v>3</v>
      </c>
      <c r="K130" s="13" t="str">
        <f t="shared" si="25"/>
        <v/>
      </c>
      <c r="L130" s="39">
        <f t="shared" si="26"/>
        <v>32779.720279720277</v>
      </c>
      <c r="M130" s="25">
        <f t="shared" si="27"/>
        <v>1.6608391608391757E-2</v>
      </c>
      <c r="N130" s="26">
        <f t="shared" si="28"/>
        <v>3.0506666666666668E-2</v>
      </c>
      <c r="O130" s="27">
        <f t="shared" si="29"/>
        <v>0.61538461538461542</v>
      </c>
      <c r="P130" s="4">
        <f t="shared" si="30"/>
        <v>7</v>
      </c>
      <c r="Q130" s="4">
        <f t="shared" si="31"/>
        <v>5</v>
      </c>
      <c r="R130" s="4">
        <f t="shared" si="32"/>
        <v>4</v>
      </c>
      <c r="S130" s="14">
        <f t="shared" si="33"/>
        <v>2.3466666666666667</v>
      </c>
      <c r="T130" s="32" t="str">
        <f t="shared" si="39"/>
        <v>D5C6</v>
      </c>
    </row>
    <row r="131" spans="1:20" x14ac:dyDescent="0.2">
      <c r="A131" s="5">
        <f t="shared" si="36"/>
        <v>33333.333333333336</v>
      </c>
      <c r="B131" s="5">
        <f t="shared" si="37"/>
        <v>2250</v>
      </c>
      <c r="D131" s="13">
        <v>1</v>
      </c>
      <c r="E131" s="4">
        <v>6</v>
      </c>
      <c r="F131" s="4">
        <v>5</v>
      </c>
      <c r="G131" s="4">
        <f t="shared" si="24"/>
        <v>19</v>
      </c>
      <c r="H131" s="4">
        <f t="shared" si="35"/>
        <v>19.089285714285715</v>
      </c>
      <c r="I131" s="14">
        <f t="shared" si="38"/>
        <v>3</v>
      </c>
      <c r="K131" s="13" t="str">
        <f t="shared" si="25"/>
        <v/>
      </c>
      <c r="L131" s="59">
        <f t="shared" si="26"/>
        <v>33482.142857142855</v>
      </c>
      <c r="M131" s="60">
        <f t="shared" si="27"/>
        <v>4.4642857142855787E-3</v>
      </c>
      <c r="N131" s="61">
        <f t="shared" si="28"/>
        <v>2.986666666666667E-2</v>
      </c>
      <c r="O131" s="62">
        <f t="shared" si="29"/>
        <v>0.5714285714285714</v>
      </c>
      <c r="P131" s="63">
        <f t="shared" si="30"/>
        <v>7</v>
      </c>
      <c r="Q131" s="63">
        <f t="shared" si="31"/>
        <v>6</v>
      </c>
      <c r="R131" s="63">
        <f t="shared" si="32"/>
        <v>4</v>
      </c>
      <c r="S131" s="64">
        <f t="shared" si="33"/>
        <v>2.1333333333333333</v>
      </c>
      <c r="T131" s="65" t="str">
        <f t="shared" si="39"/>
        <v>D3D6</v>
      </c>
    </row>
    <row r="132" spans="1:20" x14ac:dyDescent="0.2">
      <c r="A132" s="5">
        <f t="shared" si="36"/>
        <v>33333.333333333336</v>
      </c>
      <c r="B132" s="5">
        <f t="shared" si="37"/>
        <v>2250</v>
      </c>
      <c r="D132" s="13">
        <v>1</v>
      </c>
      <c r="E132" s="4">
        <v>6</v>
      </c>
      <c r="F132" s="4">
        <v>6</v>
      </c>
      <c r="G132" s="4">
        <f t="shared" si="24"/>
        <v>18</v>
      </c>
      <c r="H132" s="4">
        <f t="shared" si="35"/>
        <v>17.75</v>
      </c>
      <c r="I132" s="14">
        <f t="shared" si="38"/>
        <v>3</v>
      </c>
      <c r="K132" s="13" t="str">
        <f t="shared" si="25"/>
        <v/>
      </c>
      <c r="L132" s="39">
        <f t="shared" si="26"/>
        <v>32894.73684210526</v>
      </c>
      <c r="M132" s="25">
        <f t="shared" si="27"/>
        <v>1.315789473684228E-2</v>
      </c>
      <c r="N132" s="26">
        <f t="shared" si="28"/>
        <v>3.0400000000000003E-2</v>
      </c>
      <c r="O132" s="27">
        <f t="shared" si="29"/>
        <v>0.53333333333333333</v>
      </c>
      <c r="P132" s="4">
        <f t="shared" si="30"/>
        <v>7</v>
      </c>
      <c r="Q132" s="4">
        <f t="shared" si="31"/>
        <v>7</v>
      </c>
      <c r="R132" s="4">
        <f t="shared" si="32"/>
        <v>4</v>
      </c>
      <c r="S132" s="14">
        <f t="shared" si="33"/>
        <v>2.0266666666666668</v>
      </c>
      <c r="T132" s="32" t="str">
        <f t="shared" si="39"/>
        <v>D2E6</v>
      </c>
    </row>
    <row r="133" spans="1:20" x14ac:dyDescent="0.2">
      <c r="A133" s="5">
        <f t="shared" si="36"/>
        <v>33333.333333333336</v>
      </c>
      <c r="B133" s="5">
        <f t="shared" si="37"/>
        <v>2250</v>
      </c>
      <c r="D133" s="13">
        <v>1</v>
      </c>
      <c r="E133" s="4">
        <v>6</v>
      </c>
      <c r="F133" s="4">
        <v>7</v>
      </c>
      <c r="G133" s="4">
        <f t="shared" si="24"/>
        <v>17</v>
      </c>
      <c r="H133" s="4">
        <f t="shared" si="35"/>
        <v>16.578125</v>
      </c>
      <c r="I133" s="14">
        <f t="shared" si="38"/>
        <v>3</v>
      </c>
      <c r="K133" s="13" t="str">
        <f t="shared" si="25"/>
        <v/>
      </c>
      <c r="L133" s="39">
        <f t="shared" si="26"/>
        <v>32552.083333333332</v>
      </c>
      <c r="M133" s="25">
        <f t="shared" si="27"/>
        <v>2.3437500000000108E-2</v>
      </c>
      <c r="N133" s="26">
        <f t="shared" si="28"/>
        <v>3.0720000000000001E-2</v>
      </c>
      <c r="O133" s="27">
        <f t="shared" si="29"/>
        <v>0.5</v>
      </c>
      <c r="P133" s="4">
        <f t="shared" si="30"/>
        <v>7</v>
      </c>
      <c r="Q133" s="4">
        <f t="shared" si="31"/>
        <v>8</v>
      </c>
      <c r="R133" s="4">
        <f t="shared" si="32"/>
        <v>4</v>
      </c>
      <c r="S133" s="14">
        <f t="shared" si="33"/>
        <v>1.92</v>
      </c>
      <c r="T133" s="32" t="str">
        <f t="shared" si="39"/>
        <v>D1F6</v>
      </c>
    </row>
    <row r="134" spans="1:20" x14ac:dyDescent="0.2">
      <c r="A134" s="5">
        <f t="shared" si="36"/>
        <v>33333.333333333336</v>
      </c>
      <c r="B134" s="5">
        <f t="shared" si="37"/>
        <v>2250</v>
      </c>
      <c r="D134" s="13">
        <v>1</v>
      </c>
      <c r="E134" s="4">
        <v>7</v>
      </c>
      <c r="F134" s="4">
        <v>1</v>
      </c>
      <c r="G134" s="4">
        <f t="shared" si="24"/>
        <v>25</v>
      </c>
      <c r="H134" s="4">
        <f t="shared" si="35"/>
        <v>24.568181818181817</v>
      </c>
      <c r="I134" s="14">
        <f t="shared" si="38"/>
        <v>1</v>
      </c>
      <c r="K134" s="13" t="str">
        <f t="shared" si="25"/>
        <v/>
      </c>
      <c r="L134" s="39">
        <f t="shared" si="26"/>
        <v>32779.720279720277</v>
      </c>
      <c r="M134" s="25">
        <f t="shared" si="27"/>
        <v>1.6608391608391757E-2</v>
      </c>
      <c r="N134" s="26">
        <f t="shared" si="28"/>
        <v>3.0506666666666668E-2</v>
      </c>
      <c r="O134" s="27">
        <f t="shared" si="29"/>
        <v>0.81818181818181823</v>
      </c>
      <c r="P134" s="4">
        <f t="shared" si="30"/>
        <v>8</v>
      </c>
      <c r="Q134" s="4">
        <f t="shared" si="31"/>
        <v>2</v>
      </c>
      <c r="R134" s="4">
        <f t="shared" si="32"/>
        <v>2</v>
      </c>
      <c r="S134" s="14">
        <f t="shared" si="33"/>
        <v>2.7733333333333334</v>
      </c>
      <c r="T134" s="32" t="str">
        <f t="shared" si="39"/>
        <v>5997</v>
      </c>
    </row>
    <row r="135" spans="1:20" x14ac:dyDescent="0.2">
      <c r="A135" s="5">
        <f t="shared" ref="A135:A166" si="40">$H$2*1000</f>
        <v>33333.333333333336</v>
      </c>
      <c r="B135" s="5">
        <f t="shared" ref="B135:B166" si="41">$B$5</f>
        <v>2250</v>
      </c>
      <c r="D135" s="13">
        <v>1</v>
      </c>
      <c r="E135" s="4">
        <v>7</v>
      </c>
      <c r="F135" s="4">
        <v>2</v>
      </c>
      <c r="G135" s="4">
        <f t="shared" si="24"/>
        <v>22</v>
      </c>
      <c r="H135" s="4">
        <f t="shared" si="35"/>
        <v>22.4375</v>
      </c>
      <c r="I135" s="14">
        <f t="shared" ref="I135:I166" si="42">IF(MIN(E135-1,F135)&lt;4, MIN(E135-1, F135), 3)</f>
        <v>2</v>
      </c>
      <c r="K135" s="13" t="str">
        <f t="shared" si="25"/>
        <v/>
      </c>
      <c r="L135" s="39">
        <f t="shared" si="26"/>
        <v>33967.391304347824</v>
      </c>
      <c r="M135" s="25">
        <f t="shared" si="27"/>
        <v>1.9021739130434652E-2</v>
      </c>
      <c r="N135" s="26">
        <f t="shared" si="28"/>
        <v>2.9440000000000001E-2</v>
      </c>
      <c r="O135" s="27">
        <f t="shared" si="29"/>
        <v>0.75</v>
      </c>
      <c r="P135" s="4">
        <f t="shared" si="30"/>
        <v>8</v>
      </c>
      <c r="Q135" s="4">
        <f t="shared" si="31"/>
        <v>3</v>
      </c>
      <c r="R135" s="4">
        <f t="shared" si="32"/>
        <v>3</v>
      </c>
      <c r="S135" s="14">
        <f t="shared" si="33"/>
        <v>2.4533333333333331</v>
      </c>
      <c r="T135" s="32" t="str">
        <f t="shared" ref="T135:T166" si="43">IF(K135&lt;&gt;"INVAL",DEC2HEX(E135+F135*POWER(2,4)+I135*(POWER(2,14))+G135*POWER(2,8)+D135*POWER(2,7)), "")</f>
        <v>96A7</v>
      </c>
    </row>
    <row r="136" spans="1:20" x14ac:dyDescent="0.2">
      <c r="A136" s="5">
        <f t="shared" si="40"/>
        <v>33333.333333333336</v>
      </c>
      <c r="B136" s="5">
        <f t="shared" si="41"/>
        <v>2250</v>
      </c>
      <c r="D136" s="13">
        <v>1</v>
      </c>
      <c r="E136" s="4">
        <v>7</v>
      </c>
      <c r="F136" s="4">
        <v>3</v>
      </c>
      <c r="G136" s="4">
        <f t="shared" ref="G136:G196" si="44">ROUND(H136, 0)</f>
        <v>21</v>
      </c>
      <c r="H136" s="4">
        <f t="shared" si="35"/>
        <v>20.634615384615383</v>
      </c>
      <c r="I136" s="14">
        <f t="shared" si="42"/>
        <v>3</v>
      </c>
      <c r="K136" s="13" t="str">
        <f t="shared" ref="K136:K196" si="45">IF(G136&gt;63, "INVAL", IF(G136 = H136, "EXACT", ""))</f>
        <v/>
      </c>
      <c r="L136" s="39">
        <f t="shared" ref="L136:L196" si="46">IF(K136&lt;&gt;"INVAL", 75000000/((D136*7+1)*(ROUND(H136,0)+1)*(3+E136+F136)), "")</f>
        <v>32779.720279720277</v>
      </c>
      <c r="M136" s="25">
        <f t="shared" ref="M136:M196" si="47">IF(K136&lt;&gt;"INVAL",ABS((L136-A136)/A136), "")</f>
        <v>1.6608391608391757E-2</v>
      </c>
      <c r="N136" s="26">
        <f t="shared" ref="N136:N196" si="48">IF(K136&lt;&gt;"INVAL",1000/L136, "")</f>
        <v>3.0506666666666668E-2</v>
      </c>
      <c r="O136" s="27">
        <f t="shared" ref="O136:O196" si="49">IF(K136&lt;&gt;"INVAL", (E136+2)/(E136+F136+3), "")</f>
        <v>0.69230769230769229</v>
      </c>
      <c r="P136" s="4">
        <f t="shared" ref="P136:P196" si="50">IF(K136="INVAL","",E136+1)</f>
        <v>8</v>
      </c>
      <c r="Q136" s="4">
        <f t="shared" ref="Q136:Q196" si="51">IF(K136="INVAL","",F136+1)</f>
        <v>4</v>
      </c>
      <c r="R136" s="4">
        <f t="shared" ref="R136:R196" si="52">IF(K136="INVAL","",I136+1)</f>
        <v>4</v>
      </c>
      <c r="S136" s="14">
        <f t="shared" ref="S136:S196" si="53">IF(K136="INVAL","",(G136+1)*(D136*7+1)/75)</f>
        <v>2.3466666666666667</v>
      </c>
      <c r="T136" s="32" t="str">
        <f t="shared" si="43"/>
        <v>D5B7</v>
      </c>
    </row>
    <row r="137" spans="1:20" x14ac:dyDescent="0.2">
      <c r="A137" s="5">
        <f t="shared" si="40"/>
        <v>33333.333333333336</v>
      </c>
      <c r="B137" s="5">
        <f t="shared" si="41"/>
        <v>2250</v>
      </c>
      <c r="D137" s="13">
        <v>1</v>
      </c>
      <c r="E137" s="4">
        <v>7</v>
      </c>
      <c r="F137" s="4">
        <v>4</v>
      </c>
      <c r="G137" s="4">
        <f t="shared" si="44"/>
        <v>19</v>
      </c>
      <c r="H137" s="4">
        <f t="shared" si="35"/>
        <v>19.089285714285715</v>
      </c>
      <c r="I137" s="14">
        <f t="shared" si="42"/>
        <v>3</v>
      </c>
      <c r="K137" s="13" t="str">
        <f t="shared" si="45"/>
        <v/>
      </c>
      <c r="L137" s="39">
        <f t="shared" si="46"/>
        <v>33482.142857142855</v>
      </c>
      <c r="M137" s="25">
        <f t="shared" si="47"/>
        <v>4.4642857142855787E-3</v>
      </c>
      <c r="N137" s="26">
        <f t="shared" si="48"/>
        <v>2.986666666666667E-2</v>
      </c>
      <c r="O137" s="27">
        <f t="shared" si="49"/>
        <v>0.6428571428571429</v>
      </c>
      <c r="P137" s="4">
        <f t="shared" si="50"/>
        <v>8</v>
      </c>
      <c r="Q137" s="4">
        <f t="shared" si="51"/>
        <v>5</v>
      </c>
      <c r="R137" s="4">
        <f t="shared" si="52"/>
        <v>4</v>
      </c>
      <c r="S137" s="14">
        <f t="shared" si="53"/>
        <v>2.1333333333333333</v>
      </c>
      <c r="T137" s="32" t="str">
        <f t="shared" si="43"/>
        <v>D3C7</v>
      </c>
    </row>
    <row r="138" spans="1:20" x14ac:dyDescent="0.2">
      <c r="A138" s="5">
        <f t="shared" si="40"/>
        <v>33333.333333333336</v>
      </c>
      <c r="B138" s="5">
        <f t="shared" si="41"/>
        <v>2250</v>
      </c>
      <c r="D138" s="13">
        <v>1</v>
      </c>
      <c r="E138" s="4">
        <v>7</v>
      </c>
      <c r="F138" s="4">
        <v>5</v>
      </c>
      <c r="G138" s="4">
        <f t="shared" si="44"/>
        <v>18</v>
      </c>
      <c r="H138" s="4">
        <f t="shared" si="35"/>
        <v>17.75</v>
      </c>
      <c r="I138" s="14">
        <f t="shared" si="42"/>
        <v>3</v>
      </c>
      <c r="K138" s="13" t="str">
        <f t="shared" si="45"/>
        <v/>
      </c>
      <c r="L138" s="39">
        <f t="shared" si="46"/>
        <v>32894.73684210526</v>
      </c>
      <c r="M138" s="25">
        <f t="shared" si="47"/>
        <v>1.315789473684228E-2</v>
      </c>
      <c r="N138" s="26">
        <f t="shared" si="48"/>
        <v>3.0400000000000003E-2</v>
      </c>
      <c r="O138" s="27">
        <f t="shared" si="49"/>
        <v>0.6</v>
      </c>
      <c r="P138" s="4">
        <f t="shared" si="50"/>
        <v>8</v>
      </c>
      <c r="Q138" s="4">
        <f t="shared" si="51"/>
        <v>6</v>
      </c>
      <c r="R138" s="4">
        <f t="shared" si="52"/>
        <v>4</v>
      </c>
      <c r="S138" s="14">
        <f t="shared" si="53"/>
        <v>2.0266666666666668</v>
      </c>
      <c r="T138" s="32" t="str">
        <f t="shared" si="43"/>
        <v>D2D7</v>
      </c>
    </row>
    <row r="139" spans="1:20" x14ac:dyDescent="0.2">
      <c r="A139" s="5">
        <f t="shared" si="40"/>
        <v>33333.333333333336</v>
      </c>
      <c r="B139" s="5">
        <f t="shared" si="41"/>
        <v>2250</v>
      </c>
      <c r="D139" s="13">
        <v>1</v>
      </c>
      <c r="E139" s="4">
        <v>7</v>
      </c>
      <c r="F139" s="4">
        <v>6</v>
      </c>
      <c r="G139" s="4">
        <f t="shared" si="44"/>
        <v>17</v>
      </c>
      <c r="H139" s="4">
        <f t="shared" si="35"/>
        <v>16.578125</v>
      </c>
      <c r="I139" s="14">
        <f t="shared" si="42"/>
        <v>3</v>
      </c>
      <c r="K139" s="13" t="str">
        <f t="shared" si="45"/>
        <v/>
      </c>
      <c r="L139" s="39">
        <f t="shared" si="46"/>
        <v>32552.083333333332</v>
      </c>
      <c r="M139" s="25">
        <f t="shared" si="47"/>
        <v>2.3437500000000108E-2</v>
      </c>
      <c r="N139" s="26">
        <f t="shared" si="48"/>
        <v>3.0720000000000001E-2</v>
      </c>
      <c r="O139" s="27">
        <f t="shared" si="49"/>
        <v>0.5625</v>
      </c>
      <c r="P139" s="4">
        <f t="shared" si="50"/>
        <v>8</v>
      </c>
      <c r="Q139" s="4">
        <f t="shared" si="51"/>
        <v>7</v>
      </c>
      <c r="R139" s="4">
        <f t="shared" si="52"/>
        <v>4</v>
      </c>
      <c r="S139" s="14">
        <f t="shared" si="53"/>
        <v>1.92</v>
      </c>
      <c r="T139" s="32" t="str">
        <f t="shared" si="43"/>
        <v>D1E7</v>
      </c>
    </row>
    <row r="140" spans="1:20" x14ac:dyDescent="0.2">
      <c r="A140" s="5">
        <f t="shared" si="40"/>
        <v>33333.333333333336</v>
      </c>
      <c r="B140" s="5">
        <f t="shared" si="41"/>
        <v>2250</v>
      </c>
      <c r="D140" s="13">
        <v>1</v>
      </c>
      <c r="E140" s="4">
        <v>7</v>
      </c>
      <c r="F140" s="4">
        <v>7</v>
      </c>
      <c r="G140" s="4">
        <f t="shared" si="44"/>
        <v>16</v>
      </c>
      <c r="H140" s="4">
        <f t="shared" si="35"/>
        <v>15.544117647058822</v>
      </c>
      <c r="I140" s="14">
        <f t="shared" si="42"/>
        <v>3</v>
      </c>
      <c r="K140" s="13" t="str">
        <f t="shared" si="45"/>
        <v/>
      </c>
      <c r="L140" s="39">
        <f t="shared" si="46"/>
        <v>32439.446366782005</v>
      </c>
      <c r="M140" s="25">
        <f t="shared" si="47"/>
        <v>2.6816608996539905E-2</v>
      </c>
      <c r="N140" s="26">
        <f t="shared" si="48"/>
        <v>3.0826666666666669E-2</v>
      </c>
      <c r="O140" s="27">
        <f t="shared" si="49"/>
        <v>0.52941176470588236</v>
      </c>
      <c r="P140" s="4">
        <f t="shared" si="50"/>
        <v>8</v>
      </c>
      <c r="Q140" s="4">
        <f t="shared" si="51"/>
        <v>8</v>
      </c>
      <c r="R140" s="4">
        <f t="shared" si="52"/>
        <v>4</v>
      </c>
      <c r="S140" s="14">
        <f t="shared" si="53"/>
        <v>1.8133333333333332</v>
      </c>
      <c r="T140" s="32" t="str">
        <f t="shared" si="43"/>
        <v>D0F7</v>
      </c>
    </row>
    <row r="141" spans="1:20" x14ac:dyDescent="0.2">
      <c r="A141" s="5">
        <f t="shared" si="40"/>
        <v>33333.333333333336</v>
      </c>
      <c r="B141" s="5">
        <f t="shared" si="41"/>
        <v>2250</v>
      </c>
      <c r="D141" s="13">
        <v>1</v>
      </c>
      <c r="E141" s="4">
        <v>8</v>
      </c>
      <c r="F141" s="4">
        <v>1</v>
      </c>
      <c r="G141" s="4">
        <f t="shared" si="44"/>
        <v>22</v>
      </c>
      <c r="H141" s="4">
        <f t="shared" si="35"/>
        <v>22.4375</v>
      </c>
      <c r="I141" s="14">
        <f t="shared" si="42"/>
        <v>1</v>
      </c>
      <c r="K141" s="13" t="str">
        <f t="shared" si="45"/>
        <v/>
      </c>
      <c r="L141" s="39">
        <f t="shared" si="46"/>
        <v>33967.391304347824</v>
      </c>
      <c r="M141" s="25">
        <f t="shared" si="47"/>
        <v>1.9021739130434652E-2</v>
      </c>
      <c r="N141" s="26">
        <f t="shared" si="48"/>
        <v>2.9440000000000001E-2</v>
      </c>
      <c r="O141" s="27">
        <f t="shared" si="49"/>
        <v>0.83333333333333337</v>
      </c>
      <c r="P141" s="4">
        <f t="shared" si="50"/>
        <v>9</v>
      </c>
      <c r="Q141" s="4">
        <f t="shared" si="51"/>
        <v>2</v>
      </c>
      <c r="R141" s="4">
        <f t="shared" si="52"/>
        <v>2</v>
      </c>
      <c r="S141" s="14">
        <f t="shared" si="53"/>
        <v>2.4533333333333331</v>
      </c>
      <c r="T141" s="32" t="str">
        <f t="shared" si="43"/>
        <v>5698</v>
      </c>
    </row>
    <row r="142" spans="1:20" x14ac:dyDescent="0.2">
      <c r="A142" s="5">
        <f t="shared" si="40"/>
        <v>33333.333333333336</v>
      </c>
      <c r="B142" s="5">
        <f t="shared" si="41"/>
        <v>2250</v>
      </c>
      <c r="D142" s="13">
        <v>1</v>
      </c>
      <c r="E142" s="4">
        <v>8</v>
      </c>
      <c r="F142" s="4">
        <v>2</v>
      </c>
      <c r="G142" s="4">
        <f t="shared" si="44"/>
        <v>21</v>
      </c>
      <c r="H142" s="4">
        <f t="shared" si="35"/>
        <v>20.634615384615383</v>
      </c>
      <c r="I142" s="14">
        <f t="shared" si="42"/>
        <v>2</v>
      </c>
      <c r="K142" s="13" t="str">
        <f t="shared" si="45"/>
        <v/>
      </c>
      <c r="L142" s="39">
        <f t="shared" si="46"/>
        <v>32779.720279720277</v>
      </c>
      <c r="M142" s="25">
        <f t="shared" si="47"/>
        <v>1.6608391608391757E-2</v>
      </c>
      <c r="N142" s="26">
        <f t="shared" si="48"/>
        <v>3.0506666666666668E-2</v>
      </c>
      <c r="O142" s="27">
        <f t="shared" si="49"/>
        <v>0.76923076923076927</v>
      </c>
      <c r="P142" s="4">
        <f t="shared" si="50"/>
        <v>9</v>
      </c>
      <c r="Q142" s="4">
        <f t="shared" si="51"/>
        <v>3</v>
      </c>
      <c r="R142" s="4">
        <f t="shared" si="52"/>
        <v>3</v>
      </c>
      <c r="S142" s="14">
        <f t="shared" si="53"/>
        <v>2.3466666666666667</v>
      </c>
      <c r="T142" s="32" t="str">
        <f t="shared" si="43"/>
        <v>95A8</v>
      </c>
    </row>
    <row r="143" spans="1:20" x14ac:dyDescent="0.2">
      <c r="A143" s="5">
        <f t="shared" si="40"/>
        <v>33333.333333333336</v>
      </c>
      <c r="B143" s="5">
        <f t="shared" si="41"/>
        <v>2250</v>
      </c>
      <c r="D143" s="13">
        <v>1</v>
      </c>
      <c r="E143" s="4">
        <v>8</v>
      </c>
      <c r="F143" s="4">
        <v>3</v>
      </c>
      <c r="G143" s="4">
        <f t="shared" si="44"/>
        <v>19</v>
      </c>
      <c r="H143" s="4">
        <f t="shared" si="35"/>
        <v>19.089285714285715</v>
      </c>
      <c r="I143" s="14">
        <f t="shared" si="42"/>
        <v>3</v>
      </c>
      <c r="K143" s="13" t="str">
        <f t="shared" si="45"/>
        <v/>
      </c>
      <c r="L143" s="39">
        <f t="shared" si="46"/>
        <v>33482.142857142855</v>
      </c>
      <c r="M143" s="25">
        <f t="shared" si="47"/>
        <v>4.4642857142855787E-3</v>
      </c>
      <c r="N143" s="26">
        <f t="shared" si="48"/>
        <v>2.986666666666667E-2</v>
      </c>
      <c r="O143" s="27">
        <f t="shared" si="49"/>
        <v>0.7142857142857143</v>
      </c>
      <c r="P143" s="4">
        <f t="shared" si="50"/>
        <v>9</v>
      </c>
      <c r="Q143" s="4">
        <f t="shared" si="51"/>
        <v>4</v>
      </c>
      <c r="R143" s="4">
        <f t="shared" si="52"/>
        <v>4</v>
      </c>
      <c r="S143" s="14">
        <f t="shared" si="53"/>
        <v>2.1333333333333333</v>
      </c>
      <c r="T143" s="32" t="str">
        <f t="shared" si="43"/>
        <v>D3B8</v>
      </c>
    </row>
    <row r="144" spans="1:20" x14ac:dyDescent="0.2">
      <c r="A144" s="5">
        <f t="shared" si="40"/>
        <v>33333.333333333336</v>
      </c>
      <c r="B144" s="5">
        <f t="shared" si="41"/>
        <v>2250</v>
      </c>
      <c r="D144" s="13">
        <v>1</v>
      </c>
      <c r="E144" s="4">
        <v>8</v>
      </c>
      <c r="F144" s="4">
        <v>4</v>
      </c>
      <c r="G144" s="4">
        <f t="shared" si="44"/>
        <v>18</v>
      </c>
      <c r="H144" s="4">
        <f t="shared" si="35"/>
        <v>17.75</v>
      </c>
      <c r="I144" s="14">
        <f t="shared" si="42"/>
        <v>3</v>
      </c>
      <c r="K144" s="13" t="str">
        <f t="shared" si="45"/>
        <v/>
      </c>
      <c r="L144" s="39">
        <f t="shared" si="46"/>
        <v>32894.73684210526</v>
      </c>
      <c r="M144" s="25">
        <f t="shared" si="47"/>
        <v>1.315789473684228E-2</v>
      </c>
      <c r="N144" s="26">
        <f t="shared" si="48"/>
        <v>3.0400000000000003E-2</v>
      </c>
      <c r="O144" s="27">
        <f t="shared" si="49"/>
        <v>0.66666666666666663</v>
      </c>
      <c r="P144" s="4">
        <f t="shared" si="50"/>
        <v>9</v>
      </c>
      <c r="Q144" s="4">
        <f t="shared" si="51"/>
        <v>5</v>
      </c>
      <c r="R144" s="4">
        <f t="shared" si="52"/>
        <v>4</v>
      </c>
      <c r="S144" s="14">
        <f t="shared" si="53"/>
        <v>2.0266666666666668</v>
      </c>
      <c r="T144" s="32" t="str">
        <f t="shared" si="43"/>
        <v>D2C8</v>
      </c>
    </row>
    <row r="145" spans="1:20" x14ac:dyDescent="0.2">
      <c r="A145" s="5">
        <f t="shared" si="40"/>
        <v>33333.333333333336</v>
      </c>
      <c r="B145" s="5">
        <f t="shared" si="41"/>
        <v>2250</v>
      </c>
      <c r="D145" s="13">
        <v>1</v>
      </c>
      <c r="E145" s="4">
        <v>8</v>
      </c>
      <c r="F145" s="4">
        <v>5</v>
      </c>
      <c r="G145" s="4">
        <f t="shared" si="44"/>
        <v>17</v>
      </c>
      <c r="H145" s="4">
        <f t="shared" si="35"/>
        <v>16.578125</v>
      </c>
      <c r="I145" s="14">
        <f t="shared" si="42"/>
        <v>3</v>
      </c>
      <c r="K145" s="13" t="str">
        <f t="shared" si="45"/>
        <v/>
      </c>
      <c r="L145" s="39">
        <f t="shared" si="46"/>
        <v>32552.083333333332</v>
      </c>
      <c r="M145" s="25">
        <f t="shared" si="47"/>
        <v>2.3437500000000108E-2</v>
      </c>
      <c r="N145" s="26">
        <f t="shared" si="48"/>
        <v>3.0720000000000001E-2</v>
      </c>
      <c r="O145" s="27">
        <f t="shared" si="49"/>
        <v>0.625</v>
      </c>
      <c r="P145" s="4">
        <f t="shared" si="50"/>
        <v>9</v>
      </c>
      <c r="Q145" s="4">
        <f t="shared" si="51"/>
        <v>6</v>
      </c>
      <c r="R145" s="4">
        <f t="shared" si="52"/>
        <v>4</v>
      </c>
      <c r="S145" s="14">
        <f t="shared" si="53"/>
        <v>1.92</v>
      </c>
      <c r="T145" s="32" t="str">
        <f t="shared" si="43"/>
        <v>D1D8</v>
      </c>
    </row>
    <row r="146" spans="1:20" x14ac:dyDescent="0.2">
      <c r="A146" s="5">
        <f t="shared" si="40"/>
        <v>33333.333333333336</v>
      </c>
      <c r="B146" s="5">
        <f t="shared" si="41"/>
        <v>2250</v>
      </c>
      <c r="D146" s="13">
        <v>1</v>
      </c>
      <c r="E146" s="4">
        <v>8</v>
      </c>
      <c r="F146" s="4">
        <v>6</v>
      </c>
      <c r="G146" s="4">
        <f t="shared" si="44"/>
        <v>16</v>
      </c>
      <c r="H146" s="4">
        <f t="shared" si="35"/>
        <v>15.544117647058822</v>
      </c>
      <c r="I146" s="14">
        <f t="shared" si="42"/>
        <v>3</v>
      </c>
      <c r="K146" s="13" t="str">
        <f t="shared" si="45"/>
        <v/>
      </c>
      <c r="L146" s="39">
        <f t="shared" si="46"/>
        <v>32439.446366782005</v>
      </c>
      <c r="M146" s="25">
        <f t="shared" si="47"/>
        <v>2.6816608996539905E-2</v>
      </c>
      <c r="N146" s="26">
        <f t="shared" si="48"/>
        <v>3.0826666666666669E-2</v>
      </c>
      <c r="O146" s="27">
        <f t="shared" si="49"/>
        <v>0.58823529411764708</v>
      </c>
      <c r="P146" s="4">
        <f t="shared" si="50"/>
        <v>9</v>
      </c>
      <c r="Q146" s="4">
        <f t="shared" si="51"/>
        <v>7</v>
      </c>
      <c r="R146" s="4">
        <f t="shared" si="52"/>
        <v>4</v>
      </c>
      <c r="S146" s="14">
        <f t="shared" si="53"/>
        <v>1.8133333333333332</v>
      </c>
      <c r="T146" s="32" t="str">
        <f t="shared" si="43"/>
        <v>D0E8</v>
      </c>
    </row>
    <row r="147" spans="1:20" x14ac:dyDescent="0.2">
      <c r="A147" s="5">
        <f t="shared" si="40"/>
        <v>33333.333333333336</v>
      </c>
      <c r="B147" s="5">
        <f t="shared" si="41"/>
        <v>2250</v>
      </c>
      <c r="D147" s="13">
        <v>1</v>
      </c>
      <c r="E147" s="4">
        <v>8</v>
      </c>
      <c r="F147" s="4">
        <v>7</v>
      </c>
      <c r="G147" s="4">
        <f t="shared" si="44"/>
        <v>15</v>
      </c>
      <c r="H147" s="4">
        <f t="shared" si="35"/>
        <v>14.625</v>
      </c>
      <c r="I147" s="14">
        <f t="shared" si="42"/>
        <v>3</v>
      </c>
      <c r="K147" s="13" t="str">
        <f t="shared" si="45"/>
        <v/>
      </c>
      <c r="L147" s="39">
        <f t="shared" si="46"/>
        <v>32552.083333333332</v>
      </c>
      <c r="M147" s="25">
        <f t="shared" si="47"/>
        <v>2.3437500000000108E-2</v>
      </c>
      <c r="N147" s="26">
        <f t="shared" si="48"/>
        <v>3.0720000000000001E-2</v>
      </c>
      <c r="O147" s="27">
        <f t="shared" si="49"/>
        <v>0.55555555555555558</v>
      </c>
      <c r="P147" s="4">
        <f t="shared" si="50"/>
        <v>9</v>
      </c>
      <c r="Q147" s="4">
        <f t="shared" si="51"/>
        <v>8</v>
      </c>
      <c r="R147" s="4">
        <f t="shared" si="52"/>
        <v>4</v>
      </c>
      <c r="S147" s="14">
        <f t="shared" si="53"/>
        <v>1.7066666666666668</v>
      </c>
      <c r="T147" s="32" t="str">
        <f t="shared" si="43"/>
        <v>CFF8</v>
      </c>
    </row>
    <row r="148" spans="1:20" x14ac:dyDescent="0.2">
      <c r="A148" s="5">
        <f t="shared" si="40"/>
        <v>33333.333333333336</v>
      </c>
      <c r="B148" s="5">
        <f t="shared" si="41"/>
        <v>2250</v>
      </c>
      <c r="D148" s="13">
        <v>1</v>
      </c>
      <c r="E148" s="4">
        <v>9</v>
      </c>
      <c r="F148" s="4">
        <v>1</v>
      </c>
      <c r="G148" s="4">
        <f t="shared" si="44"/>
        <v>21</v>
      </c>
      <c r="H148" s="4">
        <f t="shared" si="35"/>
        <v>20.634615384615383</v>
      </c>
      <c r="I148" s="14">
        <f t="shared" si="42"/>
        <v>1</v>
      </c>
      <c r="K148" s="13" t="str">
        <f t="shared" si="45"/>
        <v/>
      </c>
      <c r="L148" s="39">
        <f t="shared" si="46"/>
        <v>32779.720279720277</v>
      </c>
      <c r="M148" s="25">
        <f t="shared" si="47"/>
        <v>1.6608391608391757E-2</v>
      </c>
      <c r="N148" s="26">
        <f t="shared" si="48"/>
        <v>3.0506666666666668E-2</v>
      </c>
      <c r="O148" s="27">
        <f t="shared" si="49"/>
        <v>0.84615384615384615</v>
      </c>
      <c r="P148" s="4">
        <f t="shared" si="50"/>
        <v>10</v>
      </c>
      <c r="Q148" s="4">
        <f t="shared" si="51"/>
        <v>2</v>
      </c>
      <c r="R148" s="4">
        <f t="shared" si="52"/>
        <v>2</v>
      </c>
      <c r="S148" s="14">
        <f t="shared" si="53"/>
        <v>2.3466666666666667</v>
      </c>
      <c r="T148" s="32" t="str">
        <f t="shared" si="43"/>
        <v>5599</v>
      </c>
    </row>
    <row r="149" spans="1:20" x14ac:dyDescent="0.2">
      <c r="A149" s="5">
        <f t="shared" si="40"/>
        <v>33333.333333333336</v>
      </c>
      <c r="B149" s="5">
        <f t="shared" si="41"/>
        <v>2250</v>
      </c>
      <c r="D149" s="13">
        <v>1</v>
      </c>
      <c r="E149" s="4">
        <v>9</v>
      </c>
      <c r="F149" s="4">
        <v>2</v>
      </c>
      <c r="G149" s="4">
        <f t="shared" si="44"/>
        <v>19</v>
      </c>
      <c r="H149" s="4">
        <f t="shared" si="35"/>
        <v>19.089285714285715</v>
      </c>
      <c r="I149" s="14">
        <f t="shared" si="42"/>
        <v>2</v>
      </c>
      <c r="K149" s="13" t="str">
        <f t="shared" si="45"/>
        <v/>
      </c>
      <c r="L149" s="39">
        <f t="shared" si="46"/>
        <v>33482.142857142855</v>
      </c>
      <c r="M149" s="25">
        <f t="shared" si="47"/>
        <v>4.4642857142855787E-3</v>
      </c>
      <c r="N149" s="26">
        <f t="shared" si="48"/>
        <v>2.986666666666667E-2</v>
      </c>
      <c r="O149" s="27">
        <f t="shared" si="49"/>
        <v>0.7857142857142857</v>
      </c>
      <c r="P149" s="4">
        <f t="shared" si="50"/>
        <v>10</v>
      </c>
      <c r="Q149" s="4">
        <f t="shared" si="51"/>
        <v>3</v>
      </c>
      <c r="R149" s="4">
        <f t="shared" si="52"/>
        <v>3</v>
      </c>
      <c r="S149" s="14">
        <f t="shared" si="53"/>
        <v>2.1333333333333333</v>
      </c>
      <c r="T149" s="32" t="str">
        <f t="shared" si="43"/>
        <v>93A9</v>
      </c>
    </row>
    <row r="150" spans="1:20" x14ac:dyDescent="0.2">
      <c r="A150" s="5">
        <f t="shared" si="40"/>
        <v>33333.333333333336</v>
      </c>
      <c r="B150" s="5">
        <f t="shared" si="41"/>
        <v>2250</v>
      </c>
      <c r="D150" s="13">
        <v>1</v>
      </c>
      <c r="E150" s="4">
        <v>9</v>
      </c>
      <c r="F150" s="4">
        <v>3</v>
      </c>
      <c r="G150" s="4">
        <f t="shared" si="44"/>
        <v>18</v>
      </c>
      <c r="H150" s="4">
        <f t="shared" si="35"/>
        <v>17.75</v>
      </c>
      <c r="I150" s="14">
        <f t="shared" si="42"/>
        <v>3</v>
      </c>
      <c r="K150" s="13" t="str">
        <f t="shared" si="45"/>
        <v/>
      </c>
      <c r="L150" s="39">
        <f t="shared" si="46"/>
        <v>32894.73684210526</v>
      </c>
      <c r="M150" s="25">
        <f t="shared" si="47"/>
        <v>1.315789473684228E-2</v>
      </c>
      <c r="N150" s="26">
        <f t="shared" si="48"/>
        <v>3.0400000000000003E-2</v>
      </c>
      <c r="O150" s="27">
        <f t="shared" si="49"/>
        <v>0.73333333333333328</v>
      </c>
      <c r="P150" s="4">
        <f t="shared" si="50"/>
        <v>10</v>
      </c>
      <c r="Q150" s="4">
        <f t="shared" si="51"/>
        <v>4</v>
      </c>
      <c r="R150" s="4">
        <f t="shared" si="52"/>
        <v>4</v>
      </c>
      <c r="S150" s="14">
        <f t="shared" si="53"/>
        <v>2.0266666666666668</v>
      </c>
      <c r="T150" s="32" t="str">
        <f t="shared" si="43"/>
        <v>D2B9</v>
      </c>
    </row>
    <row r="151" spans="1:20" x14ac:dyDescent="0.2">
      <c r="A151" s="5">
        <f t="shared" si="40"/>
        <v>33333.333333333336</v>
      </c>
      <c r="B151" s="5">
        <f t="shared" si="41"/>
        <v>2250</v>
      </c>
      <c r="D151" s="13">
        <v>1</v>
      </c>
      <c r="E151" s="4">
        <v>9</v>
      </c>
      <c r="F151" s="4">
        <v>4</v>
      </c>
      <c r="G151" s="4">
        <f t="shared" si="44"/>
        <v>17</v>
      </c>
      <c r="H151" s="4">
        <f t="shared" si="35"/>
        <v>16.578125</v>
      </c>
      <c r="I151" s="14">
        <f t="shared" si="42"/>
        <v>3</v>
      </c>
      <c r="K151" s="13" t="str">
        <f t="shared" si="45"/>
        <v/>
      </c>
      <c r="L151" s="39">
        <f t="shared" si="46"/>
        <v>32552.083333333332</v>
      </c>
      <c r="M151" s="25">
        <f t="shared" si="47"/>
        <v>2.3437500000000108E-2</v>
      </c>
      <c r="N151" s="26">
        <f t="shared" si="48"/>
        <v>3.0720000000000001E-2</v>
      </c>
      <c r="O151" s="27">
        <f t="shared" si="49"/>
        <v>0.6875</v>
      </c>
      <c r="P151" s="4">
        <f t="shared" si="50"/>
        <v>10</v>
      </c>
      <c r="Q151" s="4">
        <f t="shared" si="51"/>
        <v>5</v>
      </c>
      <c r="R151" s="4">
        <f t="shared" si="52"/>
        <v>4</v>
      </c>
      <c r="S151" s="14">
        <f t="shared" si="53"/>
        <v>1.92</v>
      </c>
      <c r="T151" s="32" t="str">
        <f t="shared" si="43"/>
        <v>D1C9</v>
      </c>
    </row>
    <row r="152" spans="1:20" x14ac:dyDescent="0.2">
      <c r="A152" s="5">
        <f t="shared" si="40"/>
        <v>33333.333333333336</v>
      </c>
      <c r="B152" s="5">
        <f t="shared" si="41"/>
        <v>2250</v>
      </c>
      <c r="D152" s="13">
        <v>1</v>
      </c>
      <c r="E152" s="4">
        <v>9</v>
      </c>
      <c r="F152" s="4">
        <v>5</v>
      </c>
      <c r="G152" s="4">
        <f t="shared" si="44"/>
        <v>16</v>
      </c>
      <c r="H152" s="4">
        <f t="shared" si="35"/>
        <v>15.544117647058822</v>
      </c>
      <c r="I152" s="14">
        <f t="shared" si="42"/>
        <v>3</v>
      </c>
      <c r="K152" s="13" t="str">
        <f t="shared" si="45"/>
        <v/>
      </c>
      <c r="L152" s="39">
        <f t="shared" si="46"/>
        <v>32439.446366782005</v>
      </c>
      <c r="M152" s="25">
        <f t="shared" si="47"/>
        <v>2.6816608996539905E-2</v>
      </c>
      <c r="N152" s="26">
        <f t="shared" si="48"/>
        <v>3.0826666666666669E-2</v>
      </c>
      <c r="O152" s="27">
        <f t="shared" si="49"/>
        <v>0.6470588235294118</v>
      </c>
      <c r="P152" s="4">
        <f t="shared" si="50"/>
        <v>10</v>
      </c>
      <c r="Q152" s="4">
        <f t="shared" si="51"/>
        <v>6</v>
      </c>
      <c r="R152" s="4">
        <f t="shared" si="52"/>
        <v>4</v>
      </c>
      <c r="S152" s="14">
        <f t="shared" si="53"/>
        <v>1.8133333333333332</v>
      </c>
      <c r="T152" s="32" t="str">
        <f t="shared" si="43"/>
        <v>D0D9</v>
      </c>
    </row>
    <row r="153" spans="1:20" x14ac:dyDescent="0.2">
      <c r="A153" s="5">
        <f t="shared" si="40"/>
        <v>33333.333333333336</v>
      </c>
      <c r="B153" s="5">
        <f t="shared" si="41"/>
        <v>2250</v>
      </c>
      <c r="D153" s="13">
        <v>1</v>
      </c>
      <c r="E153" s="4">
        <v>9</v>
      </c>
      <c r="F153" s="4">
        <v>6</v>
      </c>
      <c r="G153" s="4">
        <f t="shared" si="44"/>
        <v>15</v>
      </c>
      <c r="H153" s="4">
        <f t="shared" si="35"/>
        <v>14.625</v>
      </c>
      <c r="I153" s="14">
        <f t="shared" si="42"/>
        <v>3</v>
      </c>
      <c r="K153" s="13" t="str">
        <f t="shared" si="45"/>
        <v/>
      </c>
      <c r="L153" s="39">
        <f t="shared" si="46"/>
        <v>32552.083333333332</v>
      </c>
      <c r="M153" s="25">
        <f t="shared" si="47"/>
        <v>2.3437500000000108E-2</v>
      </c>
      <c r="N153" s="26">
        <f t="shared" si="48"/>
        <v>3.0720000000000001E-2</v>
      </c>
      <c r="O153" s="27">
        <f t="shared" si="49"/>
        <v>0.61111111111111116</v>
      </c>
      <c r="P153" s="4">
        <f t="shared" si="50"/>
        <v>10</v>
      </c>
      <c r="Q153" s="4">
        <f t="shared" si="51"/>
        <v>7</v>
      </c>
      <c r="R153" s="4">
        <f t="shared" si="52"/>
        <v>4</v>
      </c>
      <c r="S153" s="14">
        <f t="shared" si="53"/>
        <v>1.7066666666666668</v>
      </c>
      <c r="T153" s="32" t="str">
        <f t="shared" si="43"/>
        <v>CFE9</v>
      </c>
    </row>
    <row r="154" spans="1:20" x14ac:dyDescent="0.2">
      <c r="A154" s="5">
        <f t="shared" si="40"/>
        <v>33333.333333333336</v>
      </c>
      <c r="B154" s="5">
        <f t="shared" si="41"/>
        <v>2250</v>
      </c>
      <c r="D154" s="13">
        <v>1</v>
      </c>
      <c r="E154" s="4">
        <v>9</v>
      </c>
      <c r="F154" s="4">
        <v>7</v>
      </c>
      <c r="G154" s="4">
        <f t="shared" si="44"/>
        <v>14</v>
      </c>
      <c r="H154" s="4">
        <f t="shared" si="35"/>
        <v>13.802631578947368</v>
      </c>
      <c r="I154" s="14">
        <f t="shared" si="42"/>
        <v>3</v>
      </c>
      <c r="K154" s="13" t="str">
        <f t="shared" si="45"/>
        <v/>
      </c>
      <c r="L154" s="39">
        <f t="shared" si="46"/>
        <v>32894.73684210526</v>
      </c>
      <c r="M154" s="25">
        <f t="shared" si="47"/>
        <v>1.315789473684228E-2</v>
      </c>
      <c r="N154" s="26">
        <f t="shared" si="48"/>
        <v>3.0400000000000003E-2</v>
      </c>
      <c r="O154" s="27">
        <f t="shared" si="49"/>
        <v>0.57894736842105265</v>
      </c>
      <c r="P154" s="4">
        <f t="shared" si="50"/>
        <v>10</v>
      </c>
      <c r="Q154" s="4">
        <f t="shared" si="51"/>
        <v>8</v>
      </c>
      <c r="R154" s="4">
        <f t="shared" si="52"/>
        <v>4</v>
      </c>
      <c r="S154" s="14">
        <f t="shared" si="53"/>
        <v>1.6</v>
      </c>
      <c r="T154" s="32" t="str">
        <f t="shared" si="43"/>
        <v>CEF9</v>
      </c>
    </row>
    <row r="155" spans="1:20" x14ac:dyDescent="0.2">
      <c r="A155" s="5">
        <f t="shared" si="40"/>
        <v>33333.333333333336</v>
      </c>
      <c r="B155" s="5">
        <f t="shared" si="41"/>
        <v>2250</v>
      </c>
      <c r="D155" s="13">
        <v>1</v>
      </c>
      <c r="E155" s="4">
        <v>10</v>
      </c>
      <c r="F155" s="4">
        <v>1</v>
      </c>
      <c r="G155" s="4">
        <f t="shared" si="44"/>
        <v>19</v>
      </c>
      <c r="H155" s="4">
        <f t="shared" si="35"/>
        <v>19.089285714285715</v>
      </c>
      <c r="I155" s="14">
        <f t="shared" si="42"/>
        <v>1</v>
      </c>
      <c r="K155" s="13" t="str">
        <f t="shared" si="45"/>
        <v/>
      </c>
      <c r="L155" s="39">
        <f t="shared" si="46"/>
        <v>33482.142857142855</v>
      </c>
      <c r="M155" s="25">
        <f t="shared" si="47"/>
        <v>4.4642857142855787E-3</v>
      </c>
      <c r="N155" s="26">
        <f t="shared" si="48"/>
        <v>2.986666666666667E-2</v>
      </c>
      <c r="O155" s="27">
        <f t="shared" si="49"/>
        <v>0.8571428571428571</v>
      </c>
      <c r="P155" s="4">
        <f t="shared" si="50"/>
        <v>11</v>
      </c>
      <c r="Q155" s="4">
        <f t="shared" si="51"/>
        <v>2</v>
      </c>
      <c r="R155" s="4">
        <f t="shared" si="52"/>
        <v>2</v>
      </c>
      <c r="S155" s="14">
        <f t="shared" si="53"/>
        <v>2.1333333333333333</v>
      </c>
      <c r="T155" s="32" t="str">
        <f t="shared" si="43"/>
        <v>539A</v>
      </c>
    </row>
    <row r="156" spans="1:20" x14ac:dyDescent="0.2">
      <c r="A156" s="5">
        <f t="shared" si="40"/>
        <v>33333.333333333336</v>
      </c>
      <c r="B156" s="5">
        <f t="shared" si="41"/>
        <v>2250</v>
      </c>
      <c r="D156" s="13">
        <v>1</v>
      </c>
      <c r="E156" s="4">
        <v>10</v>
      </c>
      <c r="F156" s="4">
        <v>2</v>
      </c>
      <c r="G156" s="4">
        <f t="shared" si="44"/>
        <v>18</v>
      </c>
      <c r="H156" s="4">
        <f t="shared" si="35"/>
        <v>17.75</v>
      </c>
      <c r="I156" s="14">
        <f t="shared" si="42"/>
        <v>2</v>
      </c>
      <c r="K156" s="13" t="str">
        <f t="shared" si="45"/>
        <v/>
      </c>
      <c r="L156" s="39">
        <f t="shared" si="46"/>
        <v>32894.73684210526</v>
      </c>
      <c r="M156" s="25">
        <f t="shared" si="47"/>
        <v>1.315789473684228E-2</v>
      </c>
      <c r="N156" s="26">
        <f t="shared" si="48"/>
        <v>3.0400000000000003E-2</v>
      </c>
      <c r="O156" s="27">
        <f t="shared" si="49"/>
        <v>0.8</v>
      </c>
      <c r="P156" s="4">
        <f t="shared" si="50"/>
        <v>11</v>
      </c>
      <c r="Q156" s="4">
        <f t="shared" si="51"/>
        <v>3</v>
      </c>
      <c r="R156" s="4">
        <f t="shared" si="52"/>
        <v>3</v>
      </c>
      <c r="S156" s="14">
        <f t="shared" si="53"/>
        <v>2.0266666666666668</v>
      </c>
      <c r="T156" s="32" t="str">
        <f t="shared" si="43"/>
        <v>92AA</v>
      </c>
    </row>
    <row r="157" spans="1:20" x14ac:dyDescent="0.2">
      <c r="A157" s="5">
        <f t="shared" si="40"/>
        <v>33333.333333333336</v>
      </c>
      <c r="B157" s="5">
        <f t="shared" si="41"/>
        <v>2250</v>
      </c>
      <c r="D157" s="13">
        <v>1</v>
      </c>
      <c r="E157" s="4">
        <v>10</v>
      </c>
      <c r="F157" s="4">
        <v>3</v>
      </c>
      <c r="G157" s="4">
        <f t="shared" si="44"/>
        <v>17</v>
      </c>
      <c r="H157" s="4">
        <f t="shared" si="35"/>
        <v>16.578125</v>
      </c>
      <c r="I157" s="14">
        <f t="shared" si="42"/>
        <v>3</v>
      </c>
      <c r="K157" s="13" t="str">
        <f t="shared" si="45"/>
        <v/>
      </c>
      <c r="L157" s="39">
        <f t="shared" si="46"/>
        <v>32552.083333333332</v>
      </c>
      <c r="M157" s="25">
        <f t="shared" si="47"/>
        <v>2.3437500000000108E-2</v>
      </c>
      <c r="N157" s="26">
        <f t="shared" si="48"/>
        <v>3.0720000000000001E-2</v>
      </c>
      <c r="O157" s="27">
        <f t="shared" si="49"/>
        <v>0.75</v>
      </c>
      <c r="P157" s="4">
        <f t="shared" si="50"/>
        <v>11</v>
      </c>
      <c r="Q157" s="4">
        <f t="shared" si="51"/>
        <v>4</v>
      </c>
      <c r="R157" s="4">
        <f t="shared" si="52"/>
        <v>4</v>
      </c>
      <c r="S157" s="14">
        <f t="shared" si="53"/>
        <v>1.92</v>
      </c>
      <c r="T157" s="32" t="str">
        <f t="shared" si="43"/>
        <v>D1BA</v>
      </c>
    </row>
    <row r="158" spans="1:20" x14ac:dyDescent="0.2">
      <c r="A158" s="5">
        <f t="shared" si="40"/>
        <v>33333.333333333336</v>
      </c>
      <c r="B158" s="5">
        <f t="shared" si="41"/>
        <v>2250</v>
      </c>
      <c r="D158" s="13">
        <v>1</v>
      </c>
      <c r="E158" s="4">
        <v>10</v>
      </c>
      <c r="F158" s="4">
        <v>4</v>
      </c>
      <c r="G158" s="4">
        <f t="shared" si="44"/>
        <v>16</v>
      </c>
      <c r="H158" s="4">
        <f t="shared" si="35"/>
        <v>15.544117647058822</v>
      </c>
      <c r="I158" s="14">
        <f t="shared" si="42"/>
        <v>3</v>
      </c>
      <c r="K158" s="13" t="str">
        <f t="shared" si="45"/>
        <v/>
      </c>
      <c r="L158" s="39">
        <f t="shared" si="46"/>
        <v>32439.446366782005</v>
      </c>
      <c r="M158" s="25">
        <f t="shared" si="47"/>
        <v>2.6816608996539905E-2</v>
      </c>
      <c r="N158" s="26">
        <f t="shared" si="48"/>
        <v>3.0826666666666669E-2</v>
      </c>
      <c r="O158" s="27">
        <f t="shared" si="49"/>
        <v>0.70588235294117652</v>
      </c>
      <c r="P158" s="4">
        <f t="shared" si="50"/>
        <v>11</v>
      </c>
      <c r="Q158" s="4">
        <f t="shared" si="51"/>
        <v>5</v>
      </c>
      <c r="R158" s="4">
        <f t="shared" si="52"/>
        <v>4</v>
      </c>
      <c r="S158" s="14">
        <f t="shared" si="53"/>
        <v>1.8133333333333332</v>
      </c>
      <c r="T158" s="32" t="str">
        <f t="shared" si="43"/>
        <v>D0CA</v>
      </c>
    </row>
    <row r="159" spans="1:20" x14ac:dyDescent="0.2">
      <c r="A159" s="5">
        <f t="shared" si="40"/>
        <v>33333.333333333336</v>
      </c>
      <c r="B159" s="5">
        <f t="shared" si="41"/>
        <v>2250</v>
      </c>
      <c r="D159" s="13">
        <v>1</v>
      </c>
      <c r="E159" s="4">
        <v>10</v>
      </c>
      <c r="F159" s="4">
        <v>5</v>
      </c>
      <c r="G159" s="4">
        <f t="shared" si="44"/>
        <v>15</v>
      </c>
      <c r="H159" s="4">
        <f t="shared" si="35"/>
        <v>14.625</v>
      </c>
      <c r="I159" s="14">
        <f t="shared" si="42"/>
        <v>3</v>
      </c>
      <c r="K159" s="13" t="str">
        <f t="shared" si="45"/>
        <v/>
      </c>
      <c r="L159" s="39">
        <f t="shared" si="46"/>
        <v>32552.083333333332</v>
      </c>
      <c r="M159" s="25">
        <f t="shared" si="47"/>
        <v>2.3437500000000108E-2</v>
      </c>
      <c r="N159" s="26">
        <f t="shared" si="48"/>
        <v>3.0720000000000001E-2</v>
      </c>
      <c r="O159" s="27">
        <f t="shared" si="49"/>
        <v>0.66666666666666663</v>
      </c>
      <c r="P159" s="4">
        <f t="shared" si="50"/>
        <v>11</v>
      </c>
      <c r="Q159" s="4">
        <f t="shared" si="51"/>
        <v>6</v>
      </c>
      <c r="R159" s="4">
        <f t="shared" si="52"/>
        <v>4</v>
      </c>
      <c r="S159" s="14">
        <f t="shared" si="53"/>
        <v>1.7066666666666668</v>
      </c>
      <c r="T159" s="32" t="str">
        <f t="shared" si="43"/>
        <v>CFDA</v>
      </c>
    </row>
    <row r="160" spans="1:20" x14ac:dyDescent="0.2">
      <c r="A160" s="5">
        <f t="shared" si="40"/>
        <v>33333.333333333336</v>
      </c>
      <c r="B160" s="5">
        <f t="shared" si="41"/>
        <v>2250</v>
      </c>
      <c r="D160" s="13">
        <v>1</v>
      </c>
      <c r="E160" s="4">
        <v>10</v>
      </c>
      <c r="F160" s="4">
        <v>6</v>
      </c>
      <c r="G160" s="4">
        <f t="shared" si="44"/>
        <v>14</v>
      </c>
      <c r="H160" s="4">
        <f t="shared" si="35"/>
        <v>13.802631578947368</v>
      </c>
      <c r="I160" s="14">
        <f t="shared" si="42"/>
        <v>3</v>
      </c>
      <c r="K160" s="13" t="str">
        <f t="shared" si="45"/>
        <v/>
      </c>
      <c r="L160" s="39">
        <f t="shared" si="46"/>
        <v>32894.73684210526</v>
      </c>
      <c r="M160" s="25">
        <f t="shared" si="47"/>
        <v>1.315789473684228E-2</v>
      </c>
      <c r="N160" s="26">
        <f t="shared" si="48"/>
        <v>3.0400000000000003E-2</v>
      </c>
      <c r="O160" s="27">
        <f t="shared" si="49"/>
        <v>0.63157894736842102</v>
      </c>
      <c r="P160" s="4">
        <f t="shared" si="50"/>
        <v>11</v>
      </c>
      <c r="Q160" s="4">
        <f t="shared" si="51"/>
        <v>7</v>
      </c>
      <c r="R160" s="4">
        <f t="shared" si="52"/>
        <v>4</v>
      </c>
      <c r="S160" s="14">
        <f t="shared" si="53"/>
        <v>1.6</v>
      </c>
      <c r="T160" s="32" t="str">
        <f t="shared" si="43"/>
        <v>CEEA</v>
      </c>
    </row>
    <row r="161" spans="1:20" x14ac:dyDescent="0.2">
      <c r="A161" s="5">
        <f t="shared" si="40"/>
        <v>33333.333333333336</v>
      </c>
      <c r="B161" s="5">
        <f t="shared" si="41"/>
        <v>2250</v>
      </c>
      <c r="D161" s="13">
        <v>1</v>
      </c>
      <c r="E161" s="4">
        <v>10</v>
      </c>
      <c r="F161" s="4">
        <v>7</v>
      </c>
      <c r="G161" s="4">
        <f t="shared" si="44"/>
        <v>13</v>
      </c>
      <c r="H161" s="4">
        <f t="shared" ref="H161:H196" si="54">B161/((D161*7+1)*(F161+E161+3)) - 1</f>
        <v>13.0625</v>
      </c>
      <c r="I161" s="14">
        <f t="shared" si="42"/>
        <v>3</v>
      </c>
      <c r="K161" s="13" t="str">
        <f t="shared" si="45"/>
        <v/>
      </c>
      <c r="L161" s="39">
        <f t="shared" si="46"/>
        <v>33482.142857142855</v>
      </c>
      <c r="M161" s="25">
        <f t="shared" si="47"/>
        <v>4.4642857142855787E-3</v>
      </c>
      <c r="N161" s="26">
        <f t="shared" si="48"/>
        <v>2.986666666666667E-2</v>
      </c>
      <c r="O161" s="27">
        <f t="shared" si="49"/>
        <v>0.6</v>
      </c>
      <c r="P161" s="4">
        <f t="shared" si="50"/>
        <v>11</v>
      </c>
      <c r="Q161" s="4">
        <f t="shared" si="51"/>
        <v>8</v>
      </c>
      <c r="R161" s="4">
        <f t="shared" si="52"/>
        <v>4</v>
      </c>
      <c r="S161" s="14">
        <f t="shared" si="53"/>
        <v>1.4933333333333334</v>
      </c>
      <c r="T161" s="32" t="str">
        <f t="shared" si="43"/>
        <v>CDFA</v>
      </c>
    </row>
    <row r="162" spans="1:20" x14ac:dyDescent="0.2">
      <c r="A162" s="5">
        <f t="shared" si="40"/>
        <v>33333.333333333336</v>
      </c>
      <c r="B162" s="5">
        <f t="shared" si="41"/>
        <v>2250</v>
      </c>
      <c r="D162" s="13">
        <v>1</v>
      </c>
      <c r="E162" s="4">
        <v>11</v>
      </c>
      <c r="F162" s="4">
        <v>1</v>
      </c>
      <c r="G162" s="4">
        <f t="shared" si="44"/>
        <v>18</v>
      </c>
      <c r="H162" s="4">
        <f t="shared" si="54"/>
        <v>17.75</v>
      </c>
      <c r="I162" s="14">
        <f t="shared" si="42"/>
        <v>1</v>
      </c>
      <c r="K162" s="13" t="str">
        <f t="shared" si="45"/>
        <v/>
      </c>
      <c r="L162" s="39">
        <f t="shared" si="46"/>
        <v>32894.73684210526</v>
      </c>
      <c r="M162" s="25">
        <f t="shared" si="47"/>
        <v>1.315789473684228E-2</v>
      </c>
      <c r="N162" s="26">
        <f t="shared" si="48"/>
        <v>3.0400000000000003E-2</v>
      </c>
      <c r="O162" s="27">
        <f t="shared" si="49"/>
        <v>0.8666666666666667</v>
      </c>
      <c r="P162" s="4">
        <f t="shared" si="50"/>
        <v>12</v>
      </c>
      <c r="Q162" s="4">
        <f t="shared" si="51"/>
        <v>2</v>
      </c>
      <c r="R162" s="4">
        <f t="shared" si="52"/>
        <v>2</v>
      </c>
      <c r="S162" s="14">
        <f t="shared" si="53"/>
        <v>2.0266666666666668</v>
      </c>
      <c r="T162" s="32" t="str">
        <f t="shared" si="43"/>
        <v>529B</v>
      </c>
    </row>
    <row r="163" spans="1:20" x14ac:dyDescent="0.2">
      <c r="A163" s="5">
        <f t="shared" si="40"/>
        <v>33333.333333333336</v>
      </c>
      <c r="B163" s="5">
        <f t="shared" si="41"/>
        <v>2250</v>
      </c>
      <c r="D163" s="13">
        <v>1</v>
      </c>
      <c r="E163" s="4">
        <v>11</v>
      </c>
      <c r="F163" s="4">
        <v>2</v>
      </c>
      <c r="G163" s="4">
        <f t="shared" si="44"/>
        <v>17</v>
      </c>
      <c r="H163" s="4">
        <f t="shared" si="54"/>
        <v>16.578125</v>
      </c>
      <c r="I163" s="14">
        <f t="shared" si="42"/>
        <v>2</v>
      </c>
      <c r="K163" s="13" t="str">
        <f t="shared" si="45"/>
        <v/>
      </c>
      <c r="L163" s="39">
        <f t="shared" si="46"/>
        <v>32552.083333333332</v>
      </c>
      <c r="M163" s="25">
        <f t="shared" si="47"/>
        <v>2.3437500000000108E-2</v>
      </c>
      <c r="N163" s="26">
        <f t="shared" si="48"/>
        <v>3.0720000000000001E-2</v>
      </c>
      <c r="O163" s="27">
        <f t="shared" si="49"/>
        <v>0.8125</v>
      </c>
      <c r="P163" s="4">
        <f t="shared" si="50"/>
        <v>12</v>
      </c>
      <c r="Q163" s="4">
        <f t="shared" si="51"/>
        <v>3</v>
      </c>
      <c r="R163" s="4">
        <f t="shared" si="52"/>
        <v>3</v>
      </c>
      <c r="S163" s="14">
        <f t="shared" si="53"/>
        <v>1.92</v>
      </c>
      <c r="T163" s="32" t="str">
        <f t="shared" si="43"/>
        <v>91AB</v>
      </c>
    </row>
    <row r="164" spans="1:20" x14ac:dyDescent="0.2">
      <c r="A164" s="5">
        <f t="shared" si="40"/>
        <v>33333.333333333336</v>
      </c>
      <c r="B164" s="5">
        <f t="shared" si="41"/>
        <v>2250</v>
      </c>
      <c r="D164" s="13">
        <v>1</v>
      </c>
      <c r="E164" s="4">
        <v>11</v>
      </c>
      <c r="F164" s="4">
        <v>3</v>
      </c>
      <c r="G164" s="4">
        <f t="shared" si="44"/>
        <v>16</v>
      </c>
      <c r="H164" s="4">
        <f t="shared" si="54"/>
        <v>15.544117647058822</v>
      </c>
      <c r="I164" s="14">
        <f t="shared" si="42"/>
        <v>3</v>
      </c>
      <c r="K164" s="13" t="str">
        <f t="shared" si="45"/>
        <v/>
      </c>
      <c r="L164" s="39">
        <f t="shared" si="46"/>
        <v>32439.446366782005</v>
      </c>
      <c r="M164" s="25">
        <f t="shared" si="47"/>
        <v>2.6816608996539905E-2</v>
      </c>
      <c r="N164" s="26">
        <f t="shared" si="48"/>
        <v>3.0826666666666669E-2</v>
      </c>
      <c r="O164" s="27">
        <f t="shared" si="49"/>
        <v>0.76470588235294112</v>
      </c>
      <c r="P164" s="4">
        <f t="shared" si="50"/>
        <v>12</v>
      </c>
      <c r="Q164" s="4">
        <f t="shared" si="51"/>
        <v>4</v>
      </c>
      <c r="R164" s="4">
        <f t="shared" si="52"/>
        <v>4</v>
      </c>
      <c r="S164" s="14">
        <f t="shared" si="53"/>
        <v>1.8133333333333332</v>
      </c>
      <c r="T164" s="32" t="str">
        <f t="shared" si="43"/>
        <v>D0BB</v>
      </c>
    </row>
    <row r="165" spans="1:20" x14ac:dyDescent="0.2">
      <c r="A165" s="5">
        <f t="shared" si="40"/>
        <v>33333.333333333336</v>
      </c>
      <c r="B165" s="5">
        <f t="shared" si="41"/>
        <v>2250</v>
      </c>
      <c r="D165" s="13">
        <v>1</v>
      </c>
      <c r="E165" s="4">
        <v>11</v>
      </c>
      <c r="F165" s="4">
        <v>4</v>
      </c>
      <c r="G165" s="4">
        <f t="shared" si="44"/>
        <v>15</v>
      </c>
      <c r="H165" s="4">
        <f t="shared" si="54"/>
        <v>14.625</v>
      </c>
      <c r="I165" s="14">
        <f t="shared" si="42"/>
        <v>3</v>
      </c>
      <c r="K165" s="13" t="str">
        <f t="shared" si="45"/>
        <v/>
      </c>
      <c r="L165" s="39">
        <f t="shared" si="46"/>
        <v>32552.083333333332</v>
      </c>
      <c r="M165" s="25">
        <f t="shared" si="47"/>
        <v>2.3437500000000108E-2</v>
      </c>
      <c r="N165" s="26">
        <f t="shared" si="48"/>
        <v>3.0720000000000001E-2</v>
      </c>
      <c r="O165" s="27">
        <f t="shared" si="49"/>
        <v>0.72222222222222221</v>
      </c>
      <c r="P165" s="4">
        <f t="shared" si="50"/>
        <v>12</v>
      </c>
      <c r="Q165" s="4">
        <f t="shared" si="51"/>
        <v>5</v>
      </c>
      <c r="R165" s="4">
        <f t="shared" si="52"/>
        <v>4</v>
      </c>
      <c r="S165" s="14">
        <f t="shared" si="53"/>
        <v>1.7066666666666668</v>
      </c>
      <c r="T165" s="32" t="str">
        <f t="shared" si="43"/>
        <v>CFCB</v>
      </c>
    </row>
    <row r="166" spans="1:20" x14ac:dyDescent="0.2">
      <c r="A166" s="5">
        <f t="shared" si="40"/>
        <v>33333.333333333336</v>
      </c>
      <c r="B166" s="5">
        <f t="shared" si="41"/>
        <v>2250</v>
      </c>
      <c r="D166" s="13">
        <v>1</v>
      </c>
      <c r="E166" s="4">
        <v>11</v>
      </c>
      <c r="F166" s="4">
        <v>5</v>
      </c>
      <c r="G166" s="4">
        <f t="shared" si="44"/>
        <v>14</v>
      </c>
      <c r="H166" s="4">
        <f t="shared" si="54"/>
        <v>13.802631578947368</v>
      </c>
      <c r="I166" s="14">
        <f t="shared" si="42"/>
        <v>3</v>
      </c>
      <c r="K166" s="13" t="str">
        <f t="shared" si="45"/>
        <v/>
      </c>
      <c r="L166" s="39">
        <f t="shared" si="46"/>
        <v>32894.73684210526</v>
      </c>
      <c r="M166" s="25">
        <f t="shared" si="47"/>
        <v>1.315789473684228E-2</v>
      </c>
      <c r="N166" s="26">
        <f t="shared" si="48"/>
        <v>3.0400000000000003E-2</v>
      </c>
      <c r="O166" s="27">
        <f t="shared" si="49"/>
        <v>0.68421052631578949</v>
      </c>
      <c r="P166" s="4">
        <f t="shared" si="50"/>
        <v>12</v>
      </c>
      <c r="Q166" s="4">
        <f t="shared" si="51"/>
        <v>6</v>
      </c>
      <c r="R166" s="4">
        <f t="shared" si="52"/>
        <v>4</v>
      </c>
      <c r="S166" s="14">
        <f t="shared" si="53"/>
        <v>1.6</v>
      </c>
      <c r="T166" s="32" t="str">
        <f t="shared" si="43"/>
        <v>CEDB</v>
      </c>
    </row>
    <row r="167" spans="1:20" x14ac:dyDescent="0.2">
      <c r="A167" s="5">
        <f t="shared" ref="A167:A196" si="55">$H$2*1000</f>
        <v>33333.333333333336</v>
      </c>
      <c r="B167" s="5">
        <f t="shared" ref="B167:B196" si="56">$B$5</f>
        <v>2250</v>
      </c>
      <c r="D167" s="13">
        <v>1</v>
      </c>
      <c r="E167" s="4">
        <v>11</v>
      </c>
      <c r="F167" s="4">
        <v>6</v>
      </c>
      <c r="G167" s="4">
        <f t="shared" si="44"/>
        <v>13</v>
      </c>
      <c r="H167" s="4">
        <f t="shared" si="54"/>
        <v>13.0625</v>
      </c>
      <c r="I167" s="14">
        <f t="shared" ref="I167:I196" si="57">IF(MIN(E167-1,F167)&lt;4, MIN(E167-1, F167), 3)</f>
        <v>3</v>
      </c>
      <c r="K167" s="13" t="str">
        <f t="shared" si="45"/>
        <v/>
      </c>
      <c r="L167" s="39">
        <f t="shared" si="46"/>
        <v>33482.142857142855</v>
      </c>
      <c r="M167" s="25">
        <f t="shared" si="47"/>
        <v>4.4642857142855787E-3</v>
      </c>
      <c r="N167" s="26">
        <f t="shared" si="48"/>
        <v>2.986666666666667E-2</v>
      </c>
      <c r="O167" s="27">
        <f t="shared" si="49"/>
        <v>0.65</v>
      </c>
      <c r="P167" s="4">
        <f t="shared" si="50"/>
        <v>12</v>
      </c>
      <c r="Q167" s="4">
        <f t="shared" si="51"/>
        <v>7</v>
      </c>
      <c r="R167" s="4">
        <f t="shared" si="52"/>
        <v>4</v>
      </c>
      <c r="S167" s="14">
        <f t="shared" si="53"/>
        <v>1.4933333333333334</v>
      </c>
      <c r="T167" s="32" t="str">
        <f t="shared" ref="T167:T196" si="58">IF(K167&lt;&gt;"INVAL",DEC2HEX(E167+F167*POWER(2,4)+I167*(POWER(2,14))+G167*POWER(2,8)+D167*POWER(2,7)), "")</f>
        <v>CDEB</v>
      </c>
    </row>
    <row r="168" spans="1:20" x14ac:dyDescent="0.2">
      <c r="A168" s="5">
        <f t="shared" si="55"/>
        <v>33333.333333333336</v>
      </c>
      <c r="B168" s="5">
        <f t="shared" si="56"/>
        <v>2250</v>
      </c>
      <c r="D168" s="13">
        <v>1</v>
      </c>
      <c r="E168" s="4">
        <v>11</v>
      </c>
      <c r="F168" s="4">
        <v>7</v>
      </c>
      <c r="G168" s="4">
        <f t="shared" si="44"/>
        <v>12</v>
      </c>
      <c r="H168" s="4">
        <f t="shared" si="54"/>
        <v>12.392857142857142</v>
      </c>
      <c r="I168" s="14">
        <f t="shared" si="57"/>
        <v>3</v>
      </c>
      <c r="K168" s="13" t="str">
        <f t="shared" si="45"/>
        <v/>
      </c>
      <c r="L168" s="39">
        <f t="shared" si="46"/>
        <v>34340.659340659338</v>
      </c>
      <c r="M168" s="25">
        <f t="shared" si="47"/>
        <v>3.0219780219780074E-2</v>
      </c>
      <c r="N168" s="26">
        <f t="shared" si="48"/>
        <v>2.9120000000000004E-2</v>
      </c>
      <c r="O168" s="27">
        <f t="shared" si="49"/>
        <v>0.61904761904761907</v>
      </c>
      <c r="P168" s="4">
        <f t="shared" si="50"/>
        <v>12</v>
      </c>
      <c r="Q168" s="4">
        <f t="shared" si="51"/>
        <v>8</v>
      </c>
      <c r="R168" s="4">
        <f t="shared" si="52"/>
        <v>4</v>
      </c>
      <c r="S168" s="14">
        <f t="shared" si="53"/>
        <v>1.3866666666666667</v>
      </c>
      <c r="T168" s="32" t="str">
        <f t="shared" si="58"/>
        <v>CCFB</v>
      </c>
    </row>
    <row r="169" spans="1:20" x14ac:dyDescent="0.2">
      <c r="A169" s="5">
        <f t="shared" si="55"/>
        <v>33333.333333333336</v>
      </c>
      <c r="B169" s="5">
        <f t="shared" si="56"/>
        <v>2250</v>
      </c>
      <c r="D169" s="13">
        <v>1</v>
      </c>
      <c r="E169" s="4">
        <v>12</v>
      </c>
      <c r="F169" s="4">
        <v>1</v>
      </c>
      <c r="G169" s="4">
        <f t="shared" si="44"/>
        <v>17</v>
      </c>
      <c r="H169" s="4">
        <f t="shared" si="54"/>
        <v>16.578125</v>
      </c>
      <c r="I169" s="14">
        <f t="shared" si="57"/>
        <v>1</v>
      </c>
      <c r="K169" s="13" t="str">
        <f t="shared" si="45"/>
        <v/>
      </c>
      <c r="L169" s="39">
        <f t="shared" si="46"/>
        <v>32552.083333333332</v>
      </c>
      <c r="M169" s="25">
        <f t="shared" si="47"/>
        <v>2.3437500000000108E-2</v>
      </c>
      <c r="N169" s="26">
        <f t="shared" si="48"/>
        <v>3.0720000000000001E-2</v>
      </c>
      <c r="O169" s="27">
        <f t="shared" si="49"/>
        <v>0.875</v>
      </c>
      <c r="P169" s="4">
        <f t="shared" si="50"/>
        <v>13</v>
      </c>
      <c r="Q169" s="4">
        <f t="shared" si="51"/>
        <v>2</v>
      </c>
      <c r="R169" s="4">
        <f t="shared" si="52"/>
        <v>2</v>
      </c>
      <c r="S169" s="14">
        <f t="shared" si="53"/>
        <v>1.92</v>
      </c>
      <c r="T169" s="32" t="str">
        <f t="shared" si="58"/>
        <v>519C</v>
      </c>
    </row>
    <row r="170" spans="1:20" x14ac:dyDescent="0.2">
      <c r="A170" s="5">
        <f t="shared" si="55"/>
        <v>33333.333333333336</v>
      </c>
      <c r="B170" s="5">
        <f t="shared" si="56"/>
        <v>2250</v>
      </c>
      <c r="D170" s="13">
        <v>1</v>
      </c>
      <c r="E170" s="4">
        <v>12</v>
      </c>
      <c r="F170" s="4">
        <v>2</v>
      </c>
      <c r="G170" s="4">
        <f t="shared" si="44"/>
        <v>16</v>
      </c>
      <c r="H170" s="4">
        <f t="shared" si="54"/>
        <v>15.544117647058822</v>
      </c>
      <c r="I170" s="14">
        <f t="shared" si="57"/>
        <v>2</v>
      </c>
      <c r="K170" s="13" t="str">
        <f t="shared" si="45"/>
        <v/>
      </c>
      <c r="L170" s="39">
        <f t="shared" si="46"/>
        <v>32439.446366782005</v>
      </c>
      <c r="M170" s="25">
        <f t="shared" si="47"/>
        <v>2.6816608996539905E-2</v>
      </c>
      <c r="N170" s="26">
        <f t="shared" si="48"/>
        <v>3.0826666666666669E-2</v>
      </c>
      <c r="O170" s="27">
        <f t="shared" si="49"/>
        <v>0.82352941176470584</v>
      </c>
      <c r="P170" s="4">
        <f t="shared" si="50"/>
        <v>13</v>
      </c>
      <c r="Q170" s="4">
        <f t="shared" si="51"/>
        <v>3</v>
      </c>
      <c r="R170" s="4">
        <f t="shared" si="52"/>
        <v>3</v>
      </c>
      <c r="S170" s="14">
        <f t="shared" si="53"/>
        <v>1.8133333333333332</v>
      </c>
      <c r="T170" s="32" t="str">
        <f t="shared" si="58"/>
        <v>90AC</v>
      </c>
    </row>
    <row r="171" spans="1:20" x14ac:dyDescent="0.2">
      <c r="A171" s="5">
        <f t="shared" si="55"/>
        <v>33333.333333333336</v>
      </c>
      <c r="B171" s="5">
        <f t="shared" si="56"/>
        <v>2250</v>
      </c>
      <c r="D171" s="13">
        <v>1</v>
      </c>
      <c r="E171" s="4">
        <v>12</v>
      </c>
      <c r="F171" s="4">
        <v>3</v>
      </c>
      <c r="G171" s="4">
        <f t="shared" si="44"/>
        <v>15</v>
      </c>
      <c r="H171" s="4">
        <f t="shared" si="54"/>
        <v>14.625</v>
      </c>
      <c r="I171" s="14">
        <f t="shared" si="57"/>
        <v>3</v>
      </c>
      <c r="K171" s="13" t="str">
        <f t="shared" si="45"/>
        <v/>
      </c>
      <c r="L171" s="39">
        <f t="shared" si="46"/>
        <v>32552.083333333332</v>
      </c>
      <c r="M171" s="25">
        <f t="shared" si="47"/>
        <v>2.3437500000000108E-2</v>
      </c>
      <c r="N171" s="26">
        <f t="shared" si="48"/>
        <v>3.0720000000000001E-2</v>
      </c>
      <c r="O171" s="27">
        <f t="shared" si="49"/>
        <v>0.77777777777777779</v>
      </c>
      <c r="P171" s="4">
        <f t="shared" si="50"/>
        <v>13</v>
      </c>
      <c r="Q171" s="4">
        <f t="shared" si="51"/>
        <v>4</v>
      </c>
      <c r="R171" s="4">
        <f t="shared" si="52"/>
        <v>4</v>
      </c>
      <c r="S171" s="14">
        <f t="shared" si="53"/>
        <v>1.7066666666666668</v>
      </c>
      <c r="T171" s="32" t="str">
        <f t="shared" si="58"/>
        <v>CFBC</v>
      </c>
    </row>
    <row r="172" spans="1:20" x14ac:dyDescent="0.2">
      <c r="A172" s="5">
        <f t="shared" si="55"/>
        <v>33333.333333333336</v>
      </c>
      <c r="B172" s="5">
        <f t="shared" si="56"/>
        <v>2250</v>
      </c>
      <c r="D172" s="13">
        <v>1</v>
      </c>
      <c r="E172" s="4">
        <v>12</v>
      </c>
      <c r="F172" s="4">
        <v>4</v>
      </c>
      <c r="G172" s="4">
        <f t="shared" si="44"/>
        <v>14</v>
      </c>
      <c r="H172" s="4">
        <f t="shared" si="54"/>
        <v>13.802631578947368</v>
      </c>
      <c r="I172" s="14">
        <f t="shared" si="57"/>
        <v>3</v>
      </c>
      <c r="K172" s="13" t="str">
        <f t="shared" si="45"/>
        <v/>
      </c>
      <c r="L172" s="39">
        <f t="shared" si="46"/>
        <v>32894.73684210526</v>
      </c>
      <c r="M172" s="25">
        <f t="shared" si="47"/>
        <v>1.315789473684228E-2</v>
      </c>
      <c r="N172" s="26">
        <f t="shared" si="48"/>
        <v>3.0400000000000003E-2</v>
      </c>
      <c r="O172" s="27">
        <f t="shared" si="49"/>
        <v>0.73684210526315785</v>
      </c>
      <c r="P172" s="4">
        <f t="shared" si="50"/>
        <v>13</v>
      </c>
      <c r="Q172" s="4">
        <f t="shared" si="51"/>
        <v>5</v>
      </c>
      <c r="R172" s="4">
        <f t="shared" si="52"/>
        <v>4</v>
      </c>
      <c r="S172" s="14">
        <f t="shared" si="53"/>
        <v>1.6</v>
      </c>
      <c r="T172" s="32" t="str">
        <f t="shared" si="58"/>
        <v>CECC</v>
      </c>
    </row>
    <row r="173" spans="1:20" x14ac:dyDescent="0.2">
      <c r="A173" s="5">
        <f t="shared" si="55"/>
        <v>33333.333333333336</v>
      </c>
      <c r="B173" s="5">
        <f t="shared" si="56"/>
        <v>2250</v>
      </c>
      <c r="D173" s="13">
        <v>1</v>
      </c>
      <c r="E173" s="4">
        <v>12</v>
      </c>
      <c r="F173" s="4">
        <v>5</v>
      </c>
      <c r="G173" s="4">
        <f t="shared" si="44"/>
        <v>13</v>
      </c>
      <c r="H173" s="4">
        <f t="shared" si="54"/>
        <v>13.0625</v>
      </c>
      <c r="I173" s="14">
        <f t="shared" si="57"/>
        <v>3</v>
      </c>
      <c r="K173" s="13" t="str">
        <f t="shared" si="45"/>
        <v/>
      </c>
      <c r="L173" s="39">
        <f t="shared" si="46"/>
        <v>33482.142857142855</v>
      </c>
      <c r="M173" s="25">
        <f t="shared" si="47"/>
        <v>4.4642857142855787E-3</v>
      </c>
      <c r="N173" s="26">
        <f t="shared" si="48"/>
        <v>2.986666666666667E-2</v>
      </c>
      <c r="O173" s="27">
        <f t="shared" si="49"/>
        <v>0.7</v>
      </c>
      <c r="P173" s="4">
        <f t="shared" si="50"/>
        <v>13</v>
      </c>
      <c r="Q173" s="4">
        <f t="shared" si="51"/>
        <v>6</v>
      </c>
      <c r="R173" s="4">
        <f t="shared" si="52"/>
        <v>4</v>
      </c>
      <c r="S173" s="14">
        <f t="shared" si="53"/>
        <v>1.4933333333333334</v>
      </c>
      <c r="T173" s="32" t="str">
        <f t="shared" si="58"/>
        <v>CDDC</v>
      </c>
    </row>
    <row r="174" spans="1:20" x14ac:dyDescent="0.2">
      <c r="A174" s="5">
        <f t="shared" si="55"/>
        <v>33333.333333333336</v>
      </c>
      <c r="B174" s="5">
        <f t="shared" si="56"/>
        <v>2250</v>
      </c>
      <c r="D174" s="13">
        <v>1</v>
      </c>
      <c r="E174" s="4">
        <v>12</v>
      </c>
      <c r="F174" s="4">
        <v>6</v>
      </c>
      <c r="G174" s="4">
        <f t="shared" si="44"/>
        <v>12</v>
      </c>
      <c r="H174" s="4">
        <f t="shared" si="54"/>
        <v>12.392857142857142</v>
      </c>
      <c r="I174" s="14">
        <f t="shared" si="57"/>
        <v>3</v>
      </c>
      <c r="K174" s="13" t="str">
        <f t="shared" si="45"/>
        <v/>
      </c>
      <c r="L174" s="39">
        <f t="shared" si="46"/>
        <v>34340.659340659338</v>
      </c>
      <c r="M174" s="25">
        <f t="shared" si="47"/>
        <v>3.0219780219780074E-2</v>
      </c>
      <c r="N174" s="26">
        <f t="shared" si="48"/>
        <v>2.9120000000000004E-2</v>
      </c>
      <c r="O174" s="27">
        <f t="shared" si="49"/>
        <v>0.66666666666666663</v>
      </c>
      <c r="P174" s="4">
        <f t="shared" si="50"/>
        <v>13</v>
      </c>
      <c r="Q174" s="4">
        <f t="shared" si="51"/>
        <v>7</v>
      </c>
      <c r="R174" s="4">
        <f t="shared" si="52"/>
        <v>4</v>
      </c>
      <c r="S174" s="14">
        <f t="shared" si="53"/>
        <v>1.3866666666666667</v>
      </c>
      <c r="T174" s="32" t="str">
        <f t="shared" si="58"/>
        <v>CCEC</v>
      </c>
    </row>
    <row r="175" spans="1:20" x14ac:dyDescent="0.2">
      <c r="A175" s="5">
        <f t="shared" si="55"/>
        <v>33333.333333333336</v>
      </c>
      <c r="B175" s="5">
        <f t="shared" si="56"/>
        <v>2250</v>
      </c>
      <c r="D175" s="13">
        <v>1</v>
      </c>
      <c r="E175" s="4">
        <v>12</v>
      </c>
      <c r="F175" s="4">
        <v>7</v>
      </c>
      <c r="G175" s="4">
        <f t="shared" si="44"/>
        <v>12</v>
      </c>
      <c r="H175" s="4">
        <f t="shared" si="54"/>
        <v>11.784090909090908</v>
      </c>
      <c r="I175" s="14">
        <f t="shared" si="57"/>
        <v>3</v>
      </c>
      <c r="K175" s="13" t="str">
        <f t="shared" si="45"/>
        <v/>
      </c>
      <c r="L175" s="39">
        <f t="shared" si="46"/>
        <v>32779.720279720277</v>
      </c>
      <c r="M175" s="25">
        <f t="shared" si="47"/>
        <v>1.6608391608391757E-2</v>
      </c>
      <c r="N175" s="26">
        <f t="shared" si="48"/>
        <v>3.0506666666666668E-2</v>
      </c>
      <c r="O175" s="27">
        <f t="shared" si="49"/>
        <v>0.63636363636363635</v>
      </c>
      <c r="P175" s="4">
        <f t="shared" si="50"/>
        <v>13</v>
      </c>
      <c r="Q175" s="4">
        <f t="shared" si="51"/>
        <v>8</v>
      </c>
      <c r="R175" s="4">
        <f t="shared" si="52"/>
        <v>4</v>
      </c>
      <c r="S175" s="14">
        <f t="shared" si="53"/>
        <v>1.3866666666666667</v>
      </c>
      <c r="T175" s="32" t="str">
        <f t="shared" si="58"/>
        <v>CCFC</v>
      </c>
    </row>
    <row r="176" spans="1:20" x14ac:dyDescent="0.2">
      <c r="A176" s="5">
        <f t="shared" si="55"/>
        <v>33333.333333333336</v>
      </c>
      <c r="B176" s="5">
        <f t="shared" si="56"/>
        <v>2250</v>
      </c>
      <c r="D176" s="13">
        <v>1</v>
      </c>
      <c r="E176" s="4">
        <v>13</v>
      </c>
      <c r="F176" s="4">
        <v>1</v>
      </c>
      <c r="G176" s="4">
        <f t="shared" si="44"/>
        <v>16</v>
      </c>
      <c r="H176" s="4">
        <f t="shared" si="54"/>
        <v>15.544117647058822</v>
      </c>
      <c r="I176" s="14">
        <f t="shared" si="57"/>
        <v>1</v>
      </c>
      <c r="K176" s="13" t="str">
        <f t="shared" si="45"/>
        <v/>
      </c>
      <c r="L176" s="39">
        <f t="shared" si="46"/>
        <v>32439.446366782005</v>
      </c>
      <c r="M176" s="25">
        <f t="shared" si="47"/>
        <v>2.6816608996539905E-2</v>
      </c>
      <c r="N176" s="26">
        <f t="shared" si="48"/>
        <v>3.0826666666666669E-2</v>
      </c>
      <c r="O176" s="27">
        <f t="shared" si="49"/>
        <v>0.88235294117647056</v>
      </c>
      <c r="P176" s="4">
        <f t="shared" si="50"/>
        <v>14</v>
      </c>
      <c r="Q176" s="4">
        <f t="shared" si="51"/>
        <v>2</v>
      </c>
      <c r="R176" s="4">
        <f t="shared" si="52"/>
        <v>2</v>
      </c>
      <c r="S176" s="14">
        <f t="shared" si="53"/>
        <v>1.8133333333333332</v>
      </c>
      <c r="T176" s="32" t="str">
        <f t="shared" si="58"/>
        <v>509D</v>
      </c>
    </row>
    <row r="177" spans="1:20" x14ac:dyDescent="0.2">
      <c r="A177" s="5">
        <f t="shared" si="55"/>
        <v>33333.333333333336</v>
      </c>
      <c r="B177" s="5">
        <f t="shared" si="56"/>
        <v>2250</v>
      </c>
      <c r="D177" s="13">
        <v>1</v>
      </c>
      <c r="E177" s="4">
        <v>13</v>
      </c>
      <c r="F177" s="4">
        <v>2</v>
      </c>
      <c r="G177" s="4">
        <f t="shared" si="44"/>
        <v>15</v>
      </c>
      <c r="H177" s="4">
        <f t="shared" si="54"/>
        <v>14.625</v>
      </c>
      <c r="I177" s="14">
        <f t="shared" si="57"/>
        <v>2</v>
      </c>
      <c r="K177" s="13" t="str">
        <f t="shared" si="45"/>
        <v/>
      </c>
      <c r="L177" s="39">
        <f t="shared" si="46"/>
        <v>32552.083333333332</v>
      </c>
      <c r="M177" s="25">
        <f t="shared" si="47"/>
        <v>2.3437500000000108E-2</v>
      </c>
      <c r="N177" s="26">
        <f t="shared" si="48"/>
        <v>3.0720000000000001E-2</v>
      </c>
      <c r="O177" s="27">
        <f t="shared" si="49"/>
        <v>0.83333333333333337</v>
      </c>
      <c r="P177" s="4">
        <f t="shared" si="50"/>
        <v>14</v>
      </c>
      <c r="Q177" s="4">
        <f t="shared" si="51"/>
        <v>3</v>
      </c>
      <c r="R177" s="4">
        <f t="shared" si="52"/>
        <v>3</v>
      </c>
      <c r="S177" s="14">
        <f t="shared" si="53"/>
        <v>1.7066666666666668</v>
      </c>
      <c r="T177" s="32" t="str">
        <f t="shared" si="58"/>
        <v>8FAD</v>
      </c>
    </row>
    <row r="178" spans="1:20" x14ac:dyDescent="0.2">
      <c r="A178" s="5">
        <f t="shared" si="55"/>
        <v>33333.333333333336</v>
      </c>
      <c r="B178" s="5">
        <f t="shared" si="56"/>
        <v>2250</v>
      </c>
      <c r="D178" s="13">
        <v>1</v>
      </c>
      <c r="E178" s="4">
        <v>13</v>
      </c>
      <c r="F178" s="4">
        <v>3</v>
      </c>
      <c r="G178" s="4">
        <f t="shared" si="44"/>
        <v>14</v>
      </c>
      <c r="H178" s="4">
        <f t="shared" si="54"/>
        <v>13.802631578947368</v>
      </c>
      <c r="I178" s="14">
        <f t="shared" si="57"/>
        <v>3</v>
      </c>
      <c r="K178" s="13" t="str">
        <f t="shared" si="45"/>
        <v/>
      </c>
      <c r="L178" s="39">
        <f t="shared" si="46"/>
        <v>32894.73684210526</v>
      </c>
      <c r="M178" s="25">
        <f t="shared" si="47"/>
        <v>1.315789473684228E-2</v>
      </c>
      <c r="N178" s="26">
        <f t="shared" si="48"/>
        <v>3.0400000000000003E-2</v>
      </c>
      <c r="O178" s="27">
        <f t="shared" si="49"/>
        <v>0.78947368421052633</v>
      </c>
      <c r="P178" s="4">
        <f t="shared" si="50"/>
        <v>14</v>
      </c>
      <c r="Q178" s="4">
        <f t="shared" si="51"/>
        <v>4</v>
      </c>
      <c r="R178" s="4">
        <f t="shared" si="52"/>
        <v>4</v>
      </c>
      <c r="S178" s="14">
        <f t="shared" si="53"/>
        <v>1.6</v>
      </c>
      <c r="T178" s="32" t="str">
        <f t="shared" si="58"/>
        <v>CEBD</v>
      </c>
    </row>
    <row r="179" spans="1:20" x14ac:dyDescent="0.2">
      <c r="A179" s="5">
        <f t="shared" si="55"/>
        <v>33333.333333333336</v>
      </c>
      <c r="B179" s="5">
        <f t="shared" si="56"/>
        <v>2250</v>
      </c>
      <c r="D179" s="13">
        <v>1</v>
      </c>
      <c r="E179" s="4">
        <v>13</v>
      </c>
      <c r="F179" s="4">
        <v>4</v>
      </c>
      <c r="G179" s="4">
        <f t="shared" si="44"/>
        <v>13</v>
      </c>
      <c r="H179" s="4">
        <f t="shared" si="54"/>
        <v>13.0625</v>
      </c>
      <c r="I179" s="14">
        <f t="shared" si="57"/>
        <v>3</v>
      </c>
      <c r="K179" s="13" t="str">
        <f t="shared" si="45"/>
        <v/>
      </c>
      <c r="L179" s="39">
        <f t="shared" si="46"/>
        <v>33482.142857142855</v>
      </c>
      <c r="M179" s="25">
        <f t="shared" si="47"/>
        <v>4.4642857142855787E-3</v>
      </c>
      <c r="N179" s="26">
        <f t="shared" si="48"/>
        <v>2.986666666666667E-2</v>
      </c>
      <c r="O179" s="27">
        <f t="shared" si="49"/>
        <v>0.75</v>
      </c>
      <c r="P179" s="4">
        <f t="shared" si="50"/>
        <v>14</v>
      </c>
      <c r="Q179" s="4">
        <f t="shared" si="51"/>
        <v>5</v>
      </c>
      <c r="R179" s="4">
        <f t="shared" si="52"/>
        <v>4</v>
      </c>
      <c r="S179" s="14">
        <f t="shared" si="53"/>
        <v>1.4933333333333334</v>
      </c>
      <c r="T179" s="32" t="str">
        <f t="shared" si="58"/>
        <v>CDCD</v>
      </c>
    </row>
    <row r="180" spans="1:20" x14ac:dyDescent="0.2">
      <c r="A180" s="5">
        <f t="shared" si="55"/>
        <v>33333.333333333336</v>
      </c>
      <c r="B180" s="5">
        <f t="shared" si="56"/>
        <v>2250</v>
      </c>
      <c r="D180" s="13">
        <v>1</v>
      </c>
      <c r="E180" s="4">
        <v>13</v>
      </c>
      <c r="F180" s="4">
        <v>5</v>
      </c>
      <c r="G180" s="4">
        <f t="shared" si="44"/>
        <v>12</v>
      </c>
      <c r="H180" s="4">
        <f t="shared" si="54"/>
        <v>12.392857142857142</v>
      </c>
      <c r="I180" s="14">
        <f t="shared" si="57"/>
        <v>3</v>
      </c>
      <c r="K180" s="13" t="str">
        <f t="shared" si="45"/>
        <v/>
      </c>
      <c r="L180" s="39">
        <f t="shared" si="46"/>
        <v>34340.659340659338</v>
      </c>
      <c r="M180" s="25">
        <f t="shared" si="47"/>
        <v>3.0219780219780074E-2</v>
      </c>
      <c r="N180" s="26">
        <f t="shared" si="48"/>
        <v>2.9120000000000004E-2</v>
      </c>
      <c r="O180" s="27">
        <f t="shared" si="49"/>
        <v>0.7142857142857143</v>
      </c>
      <c r="P180" s="4">
        <f t="shared" si="50"/>
        <v>14</v>
      </c>
      <c r="Q180" s="4">
        <f t="shared" si="51"/>
        <v>6</v>
      </c>
      <c r="R180" s="4">
        <f t="shared" si="52"/>
        <v>4</v>
      </c>
      <c r="S180" s="14">
        <f t="shared" si="53"/>
        <v>1.3866666666666667</v>
      </c>
      <c r="T180" s="32" t="str">
        <f t="shared" si="58"/>
        <v>CCDD</v>
      </c>
    </row>
    <row r="181" spans="1:20" x14ac:dyDescent="0.2">
      <c r="A181" s="5">
        <f t="shared" si="55"/>
        <v>33333.333333333336</v>
      </c>
      <c r="B181" s="5">
        <f t="shared" si="56"/>
        <v>2250</v>
      </c>
      <c r="D181" s="13">
        <v>1</v>
      </c>
      <c r="E181" s="4">
        <v>13</v>
      </c>
      <c r="F181" s="4">
        <v>6</v>
      </c>
      <c r="G181" s="4">
        <f t="shared" si="44"/>
        <v>12</v>
      </c>
      <c r="H181" s="4">
        <f t="shared" si="54"/>
        <v>11.784090909090908</v>
      </c>
      <c r="I181" s="14">
        <f t="shared" si="57"/>
        <v>3</v>
      </c>
      <c r="K181" s="13" t="str">
        <f t="shared" si="45"/>
        <v/>
      </c>
      <c r="L181" s="39">
        <f t="shared" si="46"/>
        <v>32779.720279720277</v>
      </c>
      <c r="M181" s="25">
        <f t="shared" si="47"/>
        <v>1.6608391608391757E-2</v>
      </c>
      <c r="N181" s="26">
        <f t="shared" si="48"/>
        <v>3.0506666666666668E-2</v>
      </c>
      <c r="O181" s="27">
        <f t="shared" si="49"/>
        <v>0.68181818181818177</v>
      </c>
      <c r="P181" s="4">
        <f t="shared" si="50"/>
        <v>14</v>
      </c>
      <c r="Q181" s="4">
        <f t="shared" si="51"/>
        <v>7</v>
      </c>
      <c r="R181" s="4">
        <f t="shared" si="52"/>
        <v>4</v>
      </c>
      <c r="S181" s="14">
        <f t="shared" si="53"/>
        <v>1.3866666666666667</v>
      </c>
      <c r="T181" s="32" t="str">
        <f t="shared" si="58"/>
        <v>CCED</v>
      </c>
    </row>
    <row r="182" spans="1:20" x14ac:dyDescent="0.2">
      <c r="A182" s="5">
        <f t="shared" si="55"/>
        <v>33333.333333333336</v>
      </c>
      <c r="B182" s="5">
        <f t="shared" si="56"/>
        <v>2250</v>
      </c>
      <c r="D182" s="13">
        <v>1</v>
      </c>
      <c r="E182" s="4">
        <v>13</v>
      </c>
      <c r="F182" s="4">
        <v>7</v>
      </c>
      <c r="G182" s="4">
        <f t="shared" si="44"/>
        <v>11</v>
      </c>
      <c r="H182" s="4">
        <f t="shared" si="54"/>
        <v>11.228260869565217</v>
      </c>
      <c r="I182" s="14">
        <f t="shared" si="57"/>
        <v>3</v>
      </c>
      <c r="K182" s="13" t="str">
        <f t="shared" si="45"/>
        <v/>
      </c>
      <c r="L182" s="39">
        <f t="shared" si="46"/>
        <v>33967.391304347824</v>
      </c>
      <c r="M182" s="25">
        <f t="shared" si="47"/>
        <v>1.9021739130434652E-2</v>
      </c>
      <c r="N182" s="26">
        <f t="shared" si="48"/>
        <v>2.9440000000000001E-2</v>
      </c>
      <c r="O182" s="27">
        <f t="shared" si="49"/>
        <v>0.65217391304347827</v>
      </c>
      <c r="P182" s="4">
        <f t="shared" si="50"/>
        <v>14</v>
      </c>
      <c r="Q182" s="4">
        <f t="shared" si="51"/>
        <v>8</v>
      </c>
      <c r="R182" s="4">
        <f t="shared" si="52"/>
        <v>4</v>
      </c>
      <c r="S182" s="14">
        <f t="shared" si="53"/>
        <v>1.28</v>
      </c>
      <c r="T182" s="32" t="str">
        <f t="shared" si="58"/>
        <v>CBFD</v>
      </c>
    </row>
    <row r="183" spans="1:20" x14ac:dyDescent="0.2">
      <c r="A183" s="5">
        <f t="shared" si="55"/>
        <v>33333.333333333336</v>
      </c>
      <c r="B183" s="5">
        <f t="shared" si="56"/>
        <v>2250</v>
      </c>
      <c r="D183" s="13">
        <v>1</v>
      </c>
      <c r="E183" s="4">
        <v>14</v>
      </c>
      <c r="F183" s="4">
        <v>1</v>
      </c>
      <c r="G183" s="4">
        <f t="shared" si="44"/>
        <v>15</v>
      </c>
      <c r="H183" s="4">
        <f t="shared" si="54"/>
        <v>14.625</v>
      </c>
      <c r="I183" s="14">
        <f t="shared" si="57"/>
        <v>1</v>
      </c>
      <c r="K183" s="13" t="str">
        <f t="shared" si="45"/>
        <v/>
      </c>
      <c r="L183" s="39">
        <f t="shared" si="46"/>
        <v>32552.083333333332</v>
      </c>
      <c r="M183" s="25">
        <f t="shared" si="47"/>
        <v>2.3437500000000108E-2</v>
      </c>
      <c r="N183" s="26">
        <f t="shared" si="48"/>
        <v>3.0720000000000001E-2</v>
      </c>
      <c r="O183" s="27">
        <f t="shared" si="49"/>
        <v>0.88888888888888884</v>
      </c>
      <c r="P183" s="4">
        <f t="shared" si="50"/>
        <v>15</v>
      </c>
      <c r="Q183" s="4">
        <f t="shared" si="51"/>
        <v>2</v>
      </c>
      <c r="R183" s="4">
        <f t="shared" si="52"/>
        <v>2</v>
      </c>
      <c r="S183" s="14">
        <f t="shared" si="53"/>
        <v>1.7066666666666668</v>
      </c>
      <c r="T183" s="32" t="str">
        <f t="shared" si="58"/>
        <v>4F9E</v>
      </c>
    </row>
    <row r="184" spans="1:20" x14ac:dyDescent="0.2">
      <c r="A184" s="5">
        <f t="shared" si="55"/>
        <v>33333.333333333336</v>
      </c>
      <c r="B184" s="5">
        <f t="shared" si="56"/>
        <v>2250</v>
      </c>
      <c r="D184" s="13">
        <v>1</v>
      </c>
      <c r="E184" s="4">
        <v>14</v>
      </c>
      <c r="F184" s="4">
        <v>2</v>
      </c>
      <c r="G184" s="4">
        <f t="shared" si="44"/>
        <v>14</v>
      </c>
      <c r="H184" s="4">
        <f t="shared" si="54"/>
        <v>13.802631578947368</v>
      </c>
      <c r="I184" s="14">
        <f t="shared" si="57"/>
        <v>2</v>
      </c>
      <c r="K184" s="13" t="str">
        <f t="shared" si="45"/>
        <v/>
      </c>
      <c r="L184" s="39">
        <f t="shared" si="46"/>
        <v>32894.73684210526</v>
      </c>
      <c r="M184" s="25">
        <f t="shared" si="47"/>
        <v>1.315789473684228E-2</v>
      </c>
      <c r="N184" s="26">
        <f t="shared" si="48"/>
        <v>3.0400000000000003E-2</v>
      </c>
      <c r="O184" s="27">
        <f t="shared" si="49"/>
        <v>0.84210526315789469</v>
      </c>
      <c r="P184" s="4">
        <f t="shared" si="50"/>
        <v>15</v>
      </c>
      <c r="Q184" s="4">
        <f t="shared" si="51"/>
        <v>3</v>
      </c>
      <c r="R184" s="4">
        <f t="shared" si="52"/>
        <v>3</v>
      </c>
      <c r="S184" s="14">
        <f t="shared" si="53"/>
        <v>1.6</v>
      </c>
      <c r="T184" s="32" t="str">
        <f t="shared" si="58"/>
        <v>8EAE</v>
      </c>
    </row>
    <row r="185" spans="1:20" x14ac:dyDescent="0.2">
      <c r="A185" s="5">
        <f t="shared" si="55"/>
        <v>33333.333333333336</v>
      </c>
      <c r="B185" s="5">
        <f t="shared" si="56"/>
        <v>2250</v>
      </c>
      <c r="D185" s="13">
        <v>1</v>
      </c>
      <c r="E185" s="4">
        <v>14</v>
      </c>
      <c r="F185" s="4">
        <v>3</v>
      </c>
      <c r="G185" s="4">
        <f t="shared" si="44"/>
        <v>13</v>
      </c>
      <c r="H185" s="4">
        <f t="shared" si="54"/>
        <v>13.0625</v>
      </c>
      <c r="I185" s="14">
        <f t="shared" si="57"/>
        <v>3</v>
      </c>
      <c r="K185" s="13" t="str">
        <f t="shared" si="45"/>
        <v/>
      </c>
      <c r="L185" s="39">
        <f t="shared" si="46"/>
        <v>33482.142857142855</v>
      </c>
      <c r="M185" s="25">
        <f t="shared" si="47"/>
        <v>4.4642857142855787E-3</v>
      </c>
      <c r="N185" s="26">
        <f t="shared" si="48"/>
        <v>2.986666666666667E-2</v>
      </c>
      <c r="O185" s="27">
        <f t="shared" si="49"/>
        <v>0.8</v>
      </c>
      <c r="P185" s="4">
        <f t="shared" si="50"/>
        <v>15</v>
      </c>
      <c r="Q185" s="4">
        <f t="shared" si="51"/>
        <v>4</v>
      </c>
      <c r="R185" s="4">
        <f t="shared" si="52"/>
        <v>4</v>
      </c>
      <c r="S185" s="14">
        <f t="shared" si="53"/>
        <v>1.4933333333333334</v>
      </c>
      <c r="T185" s="32" t="str">
        <f t="shared" si="58"/>
        <v>CDBE</v>
      </c>
    </row>
    <row r="186" spans="1:20" x14ac:dyDescent="0.2">
      <c r="A186" s="5">
        <f t="shared" si="55"/>
        <v>33333.333333333336</v>
      </c>
      <c r="B186" s="5">
        <f t="shared" si="56"/>
        <v>2250</v>
      </c>
      <c r="D186" s="13">
        <v>1</v>
      </c>
      <c r="E186" s="4">
        <v>14</v>
      </c>
      <c r="F186" s="4">
        <v>4</v>
      </c>
      <c r="G186" s="4">
        <f t="shared" si="44"/>
        <v>12</v>
      </c>
      <c r="H186" s="4">
        <f t="shared" si="54"/>
        <v>12.392857142857142</v>
      </c>
      <c r="I186" s="14">
        <f t="shared" si="57"/>
        <v>3</v>
      </c>
      <c r="K186" s="13" t="str">
        <f t="shared" si="45"/>
        <v/>
      </c>
      <c r="L186" s="39">
        <f t="shared" si="46"/>
        <v>34340.659340659338</v>
      </c>
      <c r="M186" s="25">
        <f t="shared" si="47"/>
        <v>3.0219780219780074E-2</v>
      </c>
      <c r="N186" s="26">
        <f t="shared" si="48"/>
        <v>2.9120000000000004E-2</v>
      </c>
      <c r="O186" s="27">
        <f t="shared" si="49"/>
        <v>0.76190476190476186</v>
      </c>
      <c r="P186" s="4">
        <f t="shared" si="50"/>
        <v>15</v>
      </c>
      <c r="Q186" s="4">
        <f t="shared" si="51"/>
        <v>5</v>
      </c>
      <c r="R186" s="4">
        <f t="shared" si="52"/>
        <v>4</v>
      </c>
      <c r="S186" s="14">
        <f t="shared" si="53"/>
        <v>1.3866666666666667</v>
      </c>
      <c r="T186" s="32" t="str">
        <f t="shared" si="58"/>
        <v>CCCE</v>
      </c>
    </row>
    <row r="187" spans="1:20" x14ac:dyDescent="0.2">
      <c r="A187" s="5">
        <f t="shared" si="55"/>
        <v>33333.333333333336</v>
      </c>
      <c r="B187" s="5">
        <f t="shared" si="56"/>
        <v>2250</v>
      </c>
      <c r="D187" s="13">
        <v>1</v>
      </c>
      <c r="E187" s="4">
        <v>14</v>
      </c>
      <c r="F187" s="4">
        <v>5</v>
      </c>
      <c r="G187" s="4">
        <f t="shared" si="44"/>
        <v>12</v>
      </c>
      <c r="H187" s="4">
        <f t="shared" si="54"/>
        <v>11.784090909090908</v>
      </c>
      <c r="I187" s="14">
        <f t="shared" si="57"/>
        <v>3</v>
      </c>
      <c r="K187" s="13" t="str">
        <f t="shared" si="45"/>
        <v/>
      </c>
      <c r="L187" s="39">
        <f t="shared" si="46"/>
        <v>32779.720279720277</v>
      </c>
      <c r="M187" s="25">
        <f t="shared" si="47"/>
        <v>1.6608391608391757E-2</v>
      </c>
      <c r="N187" s="26">
        <f t="shared" si="48"/>
        <v>3.0506666666666668E-2</v>
      </c>
      <c r="O187" s="27">
        <f t="shared" si="49"/>
        <v>0.72727272727272729</v>
      </c>
      <c r="P187" s="4">
        <f t="shared" si="50"/>
        <v>15</v>
      </c>
      <c r="Q187" s="4">
        <f t="shared" si="51"/>
        <v>6</v>
      </c>
      <c r="R187" s="4">
        <f t="shared" si="52"/>
        <v>4</v>
      </c>
      <c r="S187" s="14">
        <f t="shared" si="53"/>
        <v>1.3866666666666667</v>
      </c>
      <c r="T187" s="32" t="str">
        <f t="shared" si="58"/>
        <v>CCDE</v>
      </c>
    </row>
    <row r="188" spans="1:20" x14ac:dyDescent="0.2">
      <c r="A188" s="5">
        <f t="shared" si="55"/>
        <v>33333.333333333336</v>
      </c>
      <c r="B188" s="5">
        <f t="shared" si="56"/>
        <v>2250</v>
      </c>
      <c r="D188" s="13">
        <v>1</v>
      </c>
      <c r="E188" s="4">
        <v>14</v>
      </c>
      <c r="F188" s="4">
        <v>6</v>
      </c>
      <c r="G188" s="4">
        <f t="shared" si="44"/>
        <v>11</v>
      </c>
      <c r="H188" s="4">
        <f t="shared" si="54"/>
        <v>11.228260869565217</v>
      </c>
      <c r="I188" s="14">
        <f t="shared" si="57"/>
        <v>3</v>
      </c>
      <c r="K188" s="13" t="str">
        <f t="shared" si="45"/>
        <v/>
      </c>
      <c r="L188" s="39">
        <f t="shared" si="46"/>
        <v>33967.391304347824</v>
      </c>
      <c r="M188" s="25">
        <f t="shared" si="47"/>
        <v>1.9021739130434652E-2</v>
      </c>
      <c r="N188" s="26">
        <f t="shared" si="48"/>
        <v>2.9440000000000001E-2</v>
      </c>
      <c r="O188" s="27">
        <f t="shared" si="49"/>
        <v>0.69565217391304346</v>
      </c>
      <c r="P188" s="4">
        <f t="shared" si="50"/>
        <v>15</v>
      </c>
      <c r="Q188" s="4">
        <f t="shared" si="51"/>
        <v>7</v>
      </c>
      <c r="R188" s="4">
        <f t="shared" si="52"/>
        <v>4</v>
      </c>
      <c r="S188" s="14">
        <f t="shared" si="53"/>
        <v>1.28</v>
      </c>
      <c r="T188" s="32" t="str">
        <f t="shared" si="58"/>
        <v>CBEE</v>
      </c>
    </row>
    <row r="189" spans="1:20" x14ac:dyDescent="0.2">
      <c r="A189" s="5">
        <f t="shared" si="55"/>
        <v>33333.333333333336</v>
      </c>
      <c r="B189" s="5">
        <f t="shared" si="56"/>
        <v>2250</v>
      </c>
      <c r="D189" s="13">
        <v>1</v>
      </c>
      <c r="E189" s="4">
        <v>14</v>
      </c>
      <c r="F189" s="4">
        <v>7</v>
      </c>
      <c r="G189" s="4">
        <f t="shared" si="44"/>
        <v>11</v>
      </c>
      <c r="H189" s="4">
        <f t="shared" si="54"/>
        <v>10.71875</v>
      </c>
      <c r="I189" s="14">
        <f t="shared" si="57"/>
        <v>3</v>
      </c>
      <c r="K189" s="13" t="str">
        <f t="shared" si="45"/>
        <v/>
      </c>
      <c r="L189" s="39">
        <f t="shared" si="46"/>
        <v>32552.083333333332</v>
      </c>
      <c r="M189" s="25">
        <f t="shared" si="47"/>
        <v>2.3437500000000108E-2</v>
      </c>
      <c r="N189" s="26">
        <f t="shared" si="48"/>
        <v>3.0720000000000001E-2</v>
      </c>
      <c r="O189" s="27">
        <f t="shared" si="49"/>
        <v>0.66666666666666663</v>
      </c>
      <c r="P189" s="4">
        <f t="shared" si="50"/>
        <v>15</v>
      </c>
      <c r="Q189" s="4">
        <f t="shared" si="51"/>
        <v>8</v>
      </c>
      <c r="R189" s="4">
        <f t="shared" si="52"/>
        <v>4</v>
      </c>
      <c r="S189" s="14">
        <f t="shared" si="53"/>
        <v>1.28</v>
      </c>
      <c r="T189" s="32" t="str">
        <f t="shared" si="58"/>
        <v>CBFE</v>
      </c>
    </row>
    <row r="190" spans="1:20" x14ac:dyDescent="0.2">
      <c r="A190" s="5">
        <f t="shared" si="55"/>
        <v>33333.333333333336</v>
      </c>
      <c r="B190" s="5">
        <f t="shared" si="56"/>
        <v>2250</v>
      </c>
      <c r="D190" s="13">
        <v>1</v>
      </c>
      <c r="E190" s="4">
        <v>15</v>
      </c>
      <c r="F190" s="4">
        <v>1</v>
      </c>
      <c r="G190" s="4">
        <f t="shared" si="44"/>
        <v>14</v>
      </c>
      <c r="H190" s="4">
        <f t="shared" si="54"/>
        <v>13.802631578947368</v>
      </c>
      <c r="I190" s="14">
        <f t="shared" si="57"/>
        <v>1</v>
      </c>
      <c r="K190" s="13" t="str">
        <f t="shared" si="45"/>
        <v/>
      </c>
      <c r="L190" s="39">
        <f t="shared" si="46"/>
        <v>32894.73684210526</v>
      </c>
      <c r="M190" s="25">
        <f t="shared" si="47"/>
        <v>1.315789473684228E-2</v>
      </c>
      <c r="N190" s="26">
        <f t="shared" si="48"/>
        <v>3.0400000000000003E-2</v>
      </c>
      <c r="O190" s="27">
        <f t="shared" si="49"/>
        <v>0.89473684210526316</v>
      </c>
      <c r="P190" s="4">
        <f t="shared" si="50"/>
        <v>16</v>
      </c>
      <c r="Q190" s="4">
        <f t="shared" si="51"/>
        <v>2</v>
      </c>
      <c r="R190" s="4">
        <f t="shared" si="52"/>
        <v>2</v>
      </c>
      <c r="S190" s="14">
        <f t="shared" si="53"/>
        <v>1.6</v>
      </c>
      <c r="T190" s="32" t="str">
        <f t="shared" si="58"/>
        <v>4E9F</v>
      </c>
    </row>
    <row r="191" spans="1:20" x14ac:dyDescent="0.2">
      <c r="A191" s="5">
        <f t="shared" si="55"/>
        <v>33333.333333333336</v>
      </c>
      <c r="B191" s="5">
        <f t="shared" si="56"/>
        <v>2250</v>
      </c>
      <c r="D191" s="66">
        <v>1</v>
      </c>
      <c r="E191" s="63">
        <v>15</v>
      </c>
      <c r="F191" s="63">
        <v>2</v>
      </c>
      <c r="G191" s="63">
        <f t="shared" si="44"/>
        <v>13</v>
      </c>
      <c r="H191" s="63">
        <f t="shared" si="54"/>
        <v>13.0625</v>
      </c>
      <c r="I191" s="64">
        <f t="shared" si="57"/>
        <v>2</v>
      </c>
      <c r="J191" s="67"/>
      <c r="K191" s="66" t="str">
        <f t="shared" si="45"/>
        <v/>
      </c>
      <c r="L191" s="59">
        <f t="shared" si="46"/>
        <v>33482.142857142855</v>
      </c>
      <c r="M191" s="60">
        <f t="shared" si="47"/>
        <v>4.4642857142855787E-3</v>
      </c>
      <c r="N191" s="61">
        <f t="shared" si="48"/>
        <v>2.986666666666667E-2</v>
      </c>
      <c r="O191" s="62">
        <f t="shared" si="49"/>
        <v>0.85</v>
      </c>
      <c r="P191" s="63">
        <f t="shared" si="50"/>
        <v>16</v>
      </c>
      <c r="Q191" s="63">
        <f t="shared" si="51"/>
        <v>3</v>
      </c>
      <c r="R191" s="63">
        <f t="shared" si="52"/>
        <v>3</v>
      </c>
      <c r="S191" s="64">
        <f t="shared" si="53"/>
        <v>1.4933333333333334</v>
      </c>
      <c r="T191" s="65" t="str">
        <f t="shared" si="58"/>
        <v>8DAF</v>
      </c>
    </row>
    <row r="192" spans="1:20" x14ac:dyDescent="0.2">
      <c r="A192" s="5">
        <f t="shared" si="55"/>
        <v>33333.333333333336</v>
      </c>
      <c r="B192" s="5">
        <f t="shared" si="56"/>
        <v>2250</v>
      </c>
      <c r="D192" s="13">
        <v>1</v>
      </c>
      <c r="E192" s="4">
        <v>15</v>
      </c>
      <c r="F192" s="4">
        <v>3</v>
      </c>
      <c r="G192" s="4">
        <f t="shared" si="44"/>
        <v>12</v>
      </c>
      <c r="H192" s="4">
        <f t="shared" si="54"/>
        <v>12.392857142857142</v>
      </c>
      <c r="I192" s="14">
        <f t="shared" si="57"/>
        <v>3</v>
      </c>
      <c r="K192" s="13" t="str">
        <f t="shared" si="45"/>
        <v/>
      </c>
      <c r="L192" s="39">
        <f t="shared" si="46"/>
        <v>34340.659340659338</v>
      </c>
      <c r="M192" s="25">
        <f t="shared" si="47"/>
        <v>3.0219780219780074E-2</v>
      </c>
      <c r="N192" s="26">
        <f t="shared" si="48"/>
        <v>2.9120000000000004E-2</v>
      </c>
      <c r="O192" s="27">
        <f t="shared" si="49"/>
        <v>0.80952380952380953</v>
      </c>
      <c r="P192" s="4">
        <f t="shared" si="50"/>
        <v>16</v>
      </c>
      <c r="Q192" s="4">
        <f t="shared" si="51"/>
        <v>4</v>
      </c>
      <c r="R192" s="4">
        <f t="shared" si="52"/>
        <v>4</v>
      </c>
      <c r="S192" s="14">
        <f t="shared" si="53"/>
        <v>1.3866666666666667</v>
      </c>
      <c r="T192" s="32" t="str">
        <f t="shared" si="58"/>
        <v>CCBF</v>
      </c>
    </row>
    <row r="193" spans="1:20" x14ac:dyDescent="0.2">
      <c r="A193" s="5">
        <f t="shared" si="55"/>
        <v>33333.333333333336</v>
      </c>
      <c r="B193" s="5">
        <f t="shared" si="56"/>
        <v>2250</v>
      </c>
      <c r="D193" s="13">
        <v>1</v>
      </c>
      <c r="E193" s="4">
        <v>15</v>
      </c>
      <c r="F193" s="4">
        <v>4</v>
      </c>
      <c r="G193" s="4">
        <f t="shared" si="44"/>
        <v>12</v>
      </c>
      <c r="H193" s="4">
        <f t="shared" si="54"/>
        <v>11.784090909090908</v>
      </c>
      <c r="I193" s="14">
        <f t="shared" si="57"/>
        <v>3</v>
      </c>
      <c r="K193" s="13" t="str">
        <f t="shared" si="45"/>
        <v/>
      </c>
      <c r="L193" s="39">
        <f t="shared" si="46"/>
        <v>32779.720279720277</v>
      </c>
      <c r="M193" s="25">
        <f t="shared" si="47"/>
        <v>1.6608391608391757E-2</v>
      </c>
      <c r="N193" s="26">
        <f t="shared" si="48"/>
        <v>3.0506666666666668E-2</v>
      </c>
      <c r="O193" s="27">
        <f t="shared" si="49"/>
        <v>0.77272727272727271</v>
      </c>
      <c r="P193" s="4">
        <f t="shared" si="50"/>
        <v>16</v>
      </c>
      <c r="Q193" s="4">
        <f t="shared" si="51"/>
        <v>5</v>
      </c>
      <c r="R193" s="4">
        <f t="shared" si="52"/>
        <v>4</v>
      </c>
      <c r="S193" s="14">
        <f t="shared" si="53"/>
        <v>1.3866666666666667</v>
      </c>
      <c r="T193" s="32" t="str">
        <f t="shared" si="58"/>
        <v>CCCF</v>
      </c>
    </row>
    <row r="194" spans="1:20" x14ac:dyDescent="0.2">
      <c r="A194" s="5">
        <f t="shared" si="55"/>
        <v>33333.333333333336</v>
      </c>
      <c r="B194" s="5">
        <f t="shared" si="56"/>
        <v>2250</v>
      </c>
      <c r="D194" s="13">
        <v>1</v>
      </c>
      <c r="E194" s="4">
        <v>15</v>
      </c>
      <c r="F194" s="4">
        <v>5</v>
      </c>
      <c r="G194" s="4">
        <f t="shared" si="44"/>
        <v>11</v>
      </c>
      <c r="H194" s="4">
        <f t="shared" si="54"/>
        <v>11.228260869565217</v>
      </c>
      <c r="I194" s="14">
        <f t="shared" si="57"/>
        <v>3</v>
      </c>
      <c r="K194" s="13" t="str">
        <f t="shared" si="45"/>
        <v/>
      </c>
      <c r="L194" s="39">
        <f t="shared" si="46"/>
        <v>33967.391304347824</v>
      </c>
      <c r="M194" s="25">
        <f t="shared" si="47"/>
        <v>1.9021739130434652E-2</v>
      </c>
      <c r="N194" s="26">
        <f t="shared" si="48"/>
        <v>2.9440000000000001E-2</v>
      </c>
      <c r="O194" s="27">
        <f t="shared" si="49"/>
        <v>0.73913043478260865</v>
      </c>
      <c r="P194" s="4">
        <f t="shared" si="50"/>
        <v>16</v>
      </c>
      <c r="Q194" s="4">
        <f t="shared" si="51"/>
        <v>6</v>
      </c>
      <c r="R194" s="4">
        <f t="shared" si="52"/>
        <v>4</v>
      </c>
      <c r="S194" s="14">
        <f t="shared" si="53"/>
        <v>1.28</v>
      </c>
      <c r="T194" s="32" t="str">
        <f t="shared" si="58"/>
        <v>CBDF</v>
      </c>
    </row>
    <row r="195" spans="1:20" x14ac:dyDescent="0.2">
      <c r="A195" s="5">
        <f t="shared" si="55"/>
        <v>33333.333333333336</v>
      </c>
      <c r="B195" s="5">
        <f t="shared" si="56"/>
        <v>2250</v>
      </c>
      <c r="D195" s="13">
        <v>1</v>
      </c>
      <c r="E195" s="4">
        <v>15</v>
      </c>
      <c r="F195" s="4">
        <v>6</v>
      </c>
      <c r="G195" s="4">
        <f t="shared" si="44"/>
        <v>11</v>
      </c>
      <c r="H195" s="4">
        <f t="shared" si="54"/>
        <v>10.71875</v>
      </c>
      <c r="I195" s="14">
        <f t="shared" si="57"/>
        <v>3</v>
      </c>
      <c r="K195" s="13" t="str">
        <f t="shared" si="45"/>
        <v/>
      </c>
      <c r="L195" s="39">
        <f t="shared" si="46"/>
        <v>32552.083333333332</v>
      </c>
      <c r="M195" s="25">
        <f t="shared" si="47"/>
        <v>2.3437500000000108E-2</v>
      </c>
      <c r="N195" s="26">
        <f t="shared" si="48"/>
        <v>3.0720000000000001E-2</v>
      </c>
      <c r="O195" s="27">
        <f t="shared" si="49"/>
        <v>0.70833333333333337</v>
      </c>
      <c r="P195" s="4">
        <f t="shared" si="50"/>
        <v>16</v>
      </c>
      <c r="Q195" s="4">
        <f t="shared" si="51"/>
        <v>7</v>
      </c>
      <c r="R195" s="4">
        <f t="shared" si="52"/>
        <v>4</v>
      </c>
      <c r="S195" s="14">
        <f t="shared" si="53"/>
        <v>1.28</v>
      </c>
      <c r="T195" s="32" t="str">
        <f t="shared" si="58"/>
        <v>CBEF</v>
      </c>
    </row>
    <row r="196" spans="1:20" ht="13.5" thickBot="1" x14ac:dyDescent="0.25">
      <c r="A196" s="5">
        <f t="shared" si="55"/>
        <v>33333.333333333336</v>
      </c>
      <c r="B196" s="5">
        <f t="shared" si="56"/>
        <v>2250</v>
      </c>
      <c r="D196" s="15">
        <v>1</v>
      </c>
      <c r="E196" s="16">
        <v>15</v>
      </c>
      <c r="F196" s="16">
        <v>7</v>
      </c>
      <c r="G196" s="16">
        <f t="shared" si="44"/>
        <v>10</v>
      </c>
      <c r="H196" s="16">
        <f t="shared" si="54"/>
        <v>10.25</v>
      </c>
      <c r="I196" s="17">
        <f t="shared" si="57"/>
        <v>3</v>
      </c>
      <c r="K196" s="15" t="str">
        <f t="shared" si="45"/>
        <v/>
      </c>
      <c r="L196" s="40">
        <f t="shared" si="46"/>
        <v>34090.909090909088</v>
      </c>
      <c r="M196" s="29">
        <f t="shared" si="47"/>
        <v>2.2727272727272572E-2</v>
      </c>
      <c r="N196" s="30">
        <f t="shared" si="48"/>
        <v>2.9333333333333336E-2</v>
      </c>
      <c r="O196" s="31">
        <f t="shared" si="49"/>
        <v>0.68</v>
      </c>
      <c r="P196" s="16">
        <f t="shared" si="50"/>
        <v>16</v>
      </c>
      <c r="Q196" s="16">
        <f t="shared" si="51"/>
        <v>8</v>
      </c>
      <c r="R196" s="16">
        <f t="shared" si="52"/>
        <v>4</v>
      </c>
      <c r="S196" s="17">
        <f t="shared" si="53"/>
        <v>1.1733333333333333</v>
      </c>
      <c r="T196" s="33" t="str">
        <f t="shared" si="58"/>
        <v>CAFF</v>
      </c>
    </row>
  </sheetData>
  <phoneticPr fontId="1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N10"/>
  <sheetViews>
    <sheetView workbookViewId="0">
      <selection activeCell="N26" sqref="N26"/>
    </sheetView>
  </sheetViews>
  <sheetFormatPr defaultRowHeight="12.75" x14ac:dyDescent="0.2"/>
  <cols>
    <col min="1" max="1" width="8.85546875" customWidth="1"/>
    <col min="2" max="2" width="8.7109375" customWidth="1"/>
    <col min="3" max="3" width="8.7109375" style="1" customWidth="1"/>
    <col min="4" max="4" width="9" customWidth="1"/>
    <col min="5" max="5" width="8.140625" customWidth="1"/>
    <col min="6" max="6" width="8.5703125" customWidth="1"/>
    <col min="8" max="8" width="10.140625" customWidth="1"/>
    <col min="9" max="9" width="11.5703125" bestFit="1" customWidth="1"/>
    <col min="10" max="10" width="12.140625" bestFit="1" customWidth="1"/>
    <col min="14" max="14" width="14" bestFit="1" customWidth="1"/>
  </cols>
  <sheetData>
    <row r="1" spans="2:14" ht="13.5" thickBot="1" x14ac:dyDescent="0.25"/>
    <row r="2" spans="2:14" ht="13.5" thickBot="1" x14ac:dyDescent="0.25">
      <c r="B2" s="50" t="s">
        <v>24</v>
      </c>
      <c r="C2" s="51"/>
      <c r="D2" s="52"/>
      <c r="E2" s="52"/>
      <c r="F2" s="52"/>
      <c r="G2" s="53"/>
      <c r="H2" s="53"/>
      <c r="I2" s="53"/>
      <c r="J2" s="54" t="s">
        <v>25</v>
      </c>
    </row>
    <row r="4" spans="2:14" ht="13.5" hidden="1" thickBot="1" x14ac:dyDescent="0.25">
      <c r="I4" s="54" t="str">
        <f>SUBSTITUTE(J2, " ", "")</f>
        <v>8DAF</v>
      </c>
    </row>
    <row r="5" spans="2:14" hidden="1" x14ac:dyDescent="0.2">
      <c r="B5">
        <f>HEX2DEC(I4)</f>
        <v>36271</v>
      </c>
      <c r="C5" s="3">
        <f>INT(B5/POWER(2,8))</f>
        <v>141</v>
      </c>
      <c r="D5" s="3">
        <f>C5*POWER(2,8)</f>
        <v>36096</v>
      </c>
      <c r="E5" s="2">
        <f>B5-D5</f>
        <v>175</v>
      </c>
    </row>
    <row r="6" spans="2:14" hidden="1" x14ac:dyDescent="0.2"/>
    <row r="7" spans="2:14" ht="13.5" thickBot="1" x14ac:dyDescent="0.25"/>
    <row r="8" spans="2:14" ht="13.5" thickBot="1" x14ac:dyDescent="0.25">
      <c r="B8" s="55" t="s">
        <v>23</v>
      </c>
      <c r="C8" s="56"/>
      <c r="D8" s="57"/>
      <c r="E8" s="57"/>
      <c r="F8" s="53"/>
      <c r="H8" s="55" t="s">
        <v>22</v>
      </c>
      <c r="I8" s="57"/>
      <c r="J8" s="57"/>
      <c r="K8" s="57"/>
      <c r="L8" s="57"/>
      <c r="M8" s="57"/>
      <c r="N8" s="53"/>
    </row>
    <row r="9" spans="2:14" x14ac:dyDescent="0.2">
      <c r="B9" s="10" t="s">
        <v>6</v>
      </c>
      <c r="C9" s="11" t="s">
        <v>0</v>
      </c>
      <c r="D9" s="11" t="s">
        <v>1</v>
      </c>
      <c r="E9" s="11" t="s">
        <v>3</v>
      </c>
      <c r="F9" s="12" t="s">
        <v>2</v>
      </c>
      <c r="G9" s="5"/>
      <c r="H9" s="21" t="s">
        <v>9</v>
      </c>
      <c r="I9" s="23" t="s">
        <v>13</v>
      </c>
      <c r="J9" s="24" t="s">
        <v>11</v>
      </c>
      <c r="K9" s="11" t="s">
        <v>18</v>
      </c>
      <c r="L9" s="11" t="s">
        <v>19</v>
      </c>
      <c r="M9" s="11" t="s">
        <v>20</v>
      </c>
      <c r="N9" s="12" t="s">
        <v>14</v>
      </c>
    </row>
    <row r="10" spans="2:14" ht="13.5" thickBot="1" x14ac:dyDescent="0.25">
      <c r="B10" s="46">
        <f>INT(E5/(POWER(2,7)))</f>
        <v>1</v>
      </c>
      <c r="C10" s="47">
        <f>MOD(E5, POWER(2,4))</f>
        <v>15</v>
      </c>
      <c r="D10" s="47">
        <f>INT((E5 - B10*POWER(2,7))/POWER(2,4))</f>
        <v>2</v>
      </c>
      <c r="E10" s="47">
        <f>INT(MOD(C5,POWER(2,6)))</f>
        <v>13</v>
      </c>
      <c r="F10" s="48">
        <f>INT(C5/(POWER(2,6)))</f>
        <v>2</v>
      </c>
      <c r="G10" s="5"/>
      <c r="H10" s="28">
        <f>75000000/((B10*7+1)*(E10+1)*(3+C10+D10))</f>
        <v>33482.142857142855</v>
      </c>
      <c r="I10" s="30">
        <f>1000/H10</f>
        <v>2.986666666666667E-2</v>
      </c>
      <c r="J10" s="31">
        <f>(C10+2)/(C10+D10+3)</f>
        <v>0.85</v>
      </c>
      <c r="K10" s="49">
        <f>C10+1</f>
        <v>16</v>
      </c>
      <c r="L10" s="49">
        <f>D10+1</f>
        <v>3</v>
      </c>
      <c r="M10" s="49">
        <f>F10+1</f>
        <v>3</v>
      </c>
      <c r="N10" s="17">
        <f>(E10+1)*(B10*7+1)/75</f>
        <v>1.4933333333333334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Baud to SAINT2 Setting</vt:lpstr>
      <vt:lpstr>SAINT2 Setting to Baud</vt:lpstr>
    </vt:vector>
  </TitlesOfParts>
  <Company>Delphi Automotive Systems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Delphi User</dc:creator>
  <cp:lastModifiedBy>David Anthony</cp:lastModifiedBy>
  <dcterms:created xsi:type="dcterms:W3CDTF">2006-03-21T16:44:49Z</dcterms:created>
  <dcterms:modified xsi:type="dcterms:W3CDTF">2012-04-19T20:35:20Z</dcterms:modified>
</cp:coreProperties>
</file>